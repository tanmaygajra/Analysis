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zeelg\Downloads\"/>
    </mc:Choice>
  </mc:AlternateContent>
  <xr:revisionPtr revIDLastSave="0" documentId="13_ncr:1_{86C6B079-ADBF-4AC1-9103-C9266675ABA6}" xr6:coauthVersionLast="47" xr6:coauthVersionMax="47" xr10:uidLastSave="{00000000-0000-0000-0000-000000000000}"/>
  <bookViews>
    <workbookView xWindow="-108" yWindow="-108" windowWidth="23256" windowHeight="12456" activeTab="2" xr2:uid="{B7D2F327-1B8B-4975-BB2B-FA0879E610DD}"/>
  </bookViews>
  <sheets>
    <sheet name="README" sheetId="1" r:id="rId1"/>
    <sheet name="Raw_Data" sheetId="2" r:id="rId2"/>
    <sheet name="Sheet1" sheetId="3" r:id="rId3"/>
  </sheets>
  <definedNames>
    <definedName name="_xlnm._FilterDatabase" localSheetId="1" hidden="1">Raw_Data!$A$1:$V$101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" i="3" l="1"/>
  <c r="Z4" i="3"/>
  <c r="Z5" i="3"/>
  <c r="Z6" i="3"/>
  <c r="Z7" i="3"/>
  <c r="Z8" i="3"/>
  <c r="Z9" i="3"/>
  <c r="Z10" i="3"/>
  <c r="Z11" i="3"/>
  <c r="Z12" i="3"/>
  <c r="Z13" i="3"/>
  <c r="Z14" i="3"/>
  <c r="Z15" i="3"/>
  <c r="Z16" i="3"/>
  <c r="Z17" i="3"/>
  <c r="Z18" i="3"/>
  <c r="Z19" i="3"/>
  <c r="Z20" i="3"/>
  <c r="Z21" i="3"/>
  <c r="Z22" i="3"/>
  <c r="Z23" i="3"/>
  <c r="Z24" i="3"/>
  <c r="Z25" i="3"/>
  <c r="Z26" i="3"/>
  <c r="Z27" i="3"/>
  <c r="Z28" i="3"/>
  <c r="Z29" i="3"/>
  <c r="Z30" i="3"/>
  <c r="Z31" i="3"/>
  <c r="Z32" i="3"/>
  <c r="Z33" i="3"/>
  <c r="Z34" i="3"/>
  <c r="Z35" i="3"/>
  <c r="Z36" i="3"/>
  <c r="Z37" i="3"/>
  <c r="Z38" i="3"/>
  <c r="Z39" i="3"/>
  <c r="Z40" i="3"/>
  <c r="Z41" i="3"/>
  <c r="Z42" i="3"/>
  <c r="Z43" i="3"/>
  <c r="Z44" i="3"/>
  <c r="Z45" i="3"/>
  <c r="Z46" i="3"/>
  <c r="Z47" i="3"/>
  <c r="Z48" i="3"/>
  <c r="Z49" i="3"/>
  <c r="Z50" i="3"/>
  <c r="Z51" i="3"/>
  <c r="Z52" i="3"/>
  <c r="Z53" i="3"/>
  <c r="Z54" i="3"/>
  <c r="Z55" i="3"/>
  <c r="Z56" i="3"/>
  <c r="Z57" i="3"/>
  <c r="Z58" i="3"/>
  <c r="Z59" i="3"/>
  <c r="Z60" i="3"/>
  <c r="Z61" i="3"/>
  <c r="Z62" i="3"/>
  <c r="Z63" i="3"/>
  <c r="Z64" i="3"/>
  <c r="Z65" i="3"/>
  <c r="Z66" i="3"/>
  <c r="Z67" i="3"/>
  <c r="Z68" i="3"/>
  <c r="Z69" i="3"/>
  <c r="Z70" i="3"/>
  <c r="Z71" i="3"/>
  <c r="Z72" i="3"/>
  <c r="Z73" i="3"/>
  <c r="Z74" i="3"/>
  <c r="Z75" i="3"/>
  <c r="Z76" i="3"/>
  <c r="Z77" i="3"/>
  <c r="Z78" i="3"/>
  <c r="Z79" i="3"/>
  <c r="Z80" i="3"/>
  <c r="Z81" i="3"/>
  <c r="Z82" i="3"/>
  <c r="Z83" i="3"/>
  <c r="Z84" i="3"/>
  <c r="Z85" i="3"/>
  <c r="Z86" i="3"/>
  <c r="Z87" i="3"/>
  <c r="Z88" i="3"/>
  <c r="Z89" i="3"/>
  <c r="Z90" i="3"/>
  <c r="Z91" i="3"/>
  <c r="Z92" i="3"/>
  <c r="Z93" i="3"/>
  <c r="Z94" i="3"/>
  <c r="Z95" i="3"/>
  <c r="Z96" i="3"/>
  <c r="Z97" i="3"/>
  <c r="Z98" i="3"/>
  <c r="Z99" i="3"/>
  <c r="Z100" i="3"/>
  <c r="Z101" i="3"/>
  <c r="Z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2" i="3"/>
</calcChain>
</file>

<file path=xl/sharedStrings.xml><?xml version="1.0" encoding="utf-8"?>
<sst xmlns="http://schemas.openxmlformats.org/spreadsheetml/2006/main" count="291" uniqueCount="169">
  <si>
    <t>UX &amp; Behavioural Data Analytics Workbook</t>
  </si>
  <si>
    <t>Purpose</t>
  </si>
  <si>
    <t>Complete practical workbook from RAW UX data to final UX/HEART analysis.</t>
  </si>
  <si>
    <t>Case Study</t>
  </si>
  <si>
    <t>Online Learning / E-Learning Application</t>
  </si>
  <si>
    <t>Dataset Size</t>
  </si>
  <si>
    <t>100 users</t>
  </si>
  <si>
    <t>Core workflow</t>
  </si>
  <si>
    <t>RAW DATA → Cleaning/Validation → UX Metrics → HEART → Risk → Correlation → Dashboard → Recommendations</t>
  </si>
  <si>
    <t>Included topics</t>
  </si>
  <si>
    <t>NPS, CSAT, SUS, CES, TTFV, Task Error Rate, Happiness, Engagement, Adoption, Retention, Task Success</t>
  </si>
  <si>
    <t>Important concept</t>
  </si>
  <si>
    <t>The Raw_Data sheet contains observations collected from users. UX_Metrics calculates the derived measures.</t>
  </si>
  <si>
    <t>NPS</t>
  </si>
  <si>
    <t>0–6 Detractors, 7–8 Passives, 9–10 Promoters; NPS = %Promoters − %Detractors.</t>
  </si>
  <si>
    <t>CSAT</t>
  </si>
  <si>
    <t>Average satisfaction on 1–5 scale and % satisfied where CSAT &gt;= 4.</t>
  </si>
  <si>
    <t>SUS</t>
  </si>
  <si>
    <t>10-question usability scale. Odd questions: response−1. Even questions: 5−response. Sum × 2.5 = 0–100.</t>
  </si>
  <si>
    <t>CES</t>
  </si>
  <si>
    <t>1–7 effort scale. Lower score means less effort / better experience.</t>
  </si>
  <si>
    <t>TTFV</t>
  </si>
  <si>
    <t>Minutes from signup to first meaningful value.</t>
  </si>
  <si>
    <t>Task Error Rate</t>
  </si>
  <si>
    <t>Total errors ÷ total task attempts × 100.</t>
  </si>
  <si>
    <t>Happiness</t>
  </si>
  <si>
    <t>Use NPS, CSAT and SUS.</t>
  </si>
  <si>
    <t>Engagement</t>
  </si>
  <si>
    <t>Use sessions/user and an example engaged flag of Sessions &gt;= 6.</t>
  </si>
  <si>
    <t>Adoption</t>
  </si>
  <si>
    <t>Core Action = 1 means user completed the first/core product action.</t>
  </si>
  <si>
    <t>Retention</t>
  </si>
  <si>
    <t>Day7_Return = 1 means the user returned within 7 days.</t>
  </si>
  <si>
    <t>Task Success</t>
  </si>
  <si>
    <t>Task_Completed = 1 means the task was successfully completed.</t>
  </si>
  <si>
    <t>Risk</t>
  </si>
  <si>
    <t>Teaching rule: risk points for low SUS, high CES, high TTFV, high errors, low sessions, failed core action, no Day-7 return, or failed task.</t>
  </si>
  <si>
    <t>How to use</t>
  </si>
  <si>
    <t>Start with Raw_Data. Inspect Data_Dictionary. Study formulas in UX_Metrics. Then read HEART_Summary, User_Risk and Dashboard.</t>
  </si>
  <si>
    <t>Student task</t>
  </si>
  <si>
    <t>Change raw data values and observe how the formulas, summary metrics and dashboard update in Excel.</t>
  </si>
  <si>
    <t>User_ID</t>
  </si>
  <si>
    <t>NPS_Response</t>
  </si>
  <si>
    <t>CSAT_Response</t>
  </si>
  <si>
    <t>SUS_Q1</t>
  </si>
  <si>
    <t>SUS_Q2</t>
  </si>
  <si>
    <t>SUS_Q3</t>
  </si>
  <si>
    <t>SUS_Q4</t>
  </si>
  <si>
    <t>SUS_Q5</t>
  </si>
  <si>
    <t>SUS_Q6</t>
  </si>
  <si>
    <t>SUS_Q7</t>
  </si>
  <si>
    <t>SUS_Q8</t>
  </si>
  <si>
    <t>SUS_Q9</t>
  </si>
  <si>
    <t>SUS_Q10</t>
  </si>
  <si>
    <t>CES_Response</t>
  </si>
  <si>
    <t>Signup_Time</t>
  </si>
  <si>
    <t>First_Value_Time</t>
  </si>
  <si>
    <t>Task_Attempts</t>
  </si>
  <si>
    <t>Errors</t>
  </si>
  <si>
    <t>Sessions</t>
  </si>
  <si>
    <t>Core_Action</t>
  </si>
  <si>
    <t>Day7_Return</t>
  </si>
  <si>
    <t>Task_Completed</t>
  </si>
  <si>
    <t>U001</t>
  </si>
  <si>
    <t>U002</t>
  </si>
  <si>
    <t>U003</t>
  </si>
  <si>
    <t>U004</t>
  </si>
  <si>
    <t>U005</t>
  </si>
  <si>
    <t>U006</t>
  </si>
  <si>
    <t>U007</t>
  </si>
  <si>
    <t>U008</t>
  </si>
  <si>
    <t>U009</t>
  </si>
  <si>
    <t>U010</t>
  </si>
  <si>
    <t>U011</t>
  </si>
  <si>
    <t>U012</t>
  </si>
  <si>
    <t>U013</t>
  </si>
  <si>
    <t>U014</t>
  </si>
  <si>
    <t>U015</t>
  </si>
  <si>
    <t>U016</t>
  </si>
  <si>
    <t>U017</t>
  </si>
  <si>
    <t>U018</t>
  </si>
  <si>
    <t>U019</t>
  </si>
  <si>
    <t>U020</t>
  </si>
  <si>
    <t>U021</t>
  </si>
  <si>
    <t>U022</t>
  </si>
  <si>
    <t>U023</t>
  </si>
  <si>
    <t>U024</t>
  </si>
  <si>
    <t>U025</t>
  </si>
  <si>
    <t>U026</t>
  </si>
  <si>
    <t>U027</t>
  </si>
  <si>
    <t>U028</t>
  </si>
  <si>
    <t>U029</t>
  </si>
  <si>
    <t>U030</t>
  </si>
  <si>
    <t>U031</t>
  </si>
  <si>
    <t>U032</t>
  </si>
  <si>
    <t>U033</t>
  </si>
  <si>
    <t>U034</t>
  </si>
  <si>
    <t>U035</t>
  </si>
  <si>
    <t>U036</t>
  </si>
  <si>
    <t>U037</t>
  </si>
  <si>
    <t>U038</t>
  </si>
  <si>
    <t>U039</t>
  </si>
  <si>
    <t>U040</t>
  </si>
  <si>
    <t>U041</t>
  </si>
  <si>
    <t>U042</t>
  </si>
  <si>
    <t>U043</t>
  </si>
  <si>
    <t>U044</t>
  </si>
  <si>
    <t>U045</t>
  </si>
  <si>
    <t>U046</t>
  </si>
  <si>
    <t>U047</t>
  </si>
  <si>
    <t>U048</t>
  </si>
  <si>
    <t>U049</t>
  </si>
  <si>
    <t>U050</t>
  </si>
  <si>
    <t>U051</t>
  </si>
  <si>
    <t>U052</t>
  </si>
  <si>
    <t>U053</t>
  </si>
  <si>
    <t>U054</t>
  </si>
  <si>
    <t>U055</t>
  </si>
  <si>
    <t>U056</t>
  </si>
  <si>
    <t>U057</t>
  </si>
  <si>
    <t>U058</t>
  </si>
  <si>
    <t>U059</t>
  </si>
  <si>
    <t>U060</t>
  </si>
  <si>
    <t>U061</t>
  </si>
  <si>
    <t>U062</t>
  </si>
  <si>
    <t>U063</t>
  </si>
  <si>
    <t>U064</t>
  </si>
  <si>
    <t>U065</t>
  </si>
  <si>
    <t>U066</t>
  </si>
  <si>
    <t>U067</t>
  </si>
  <si>
    <t>U068</t>
  </si>
  <si>
    <t>U069</t>
  </si>
  <si>
    <t>U070</t>
  </si>
  <si>
    <t>U071</t>
  </si>
  <si>
    <t>U072</t>
  </si>
  <si>
    <t>U073</t>
  </si>
  <si>
    <t>U074</t>
  </si>
  <si>
    <t>U075</t>
  </si>
  <si>
    <t>U076</t>
  </si>
  <si>
    <t>U077</t>
  </si>
  <si>
    <t>U078</t>
  </si>
  <si>
    <t>U079</t>
  </si>
  <si>
    <t>U080</t>
  </si>
  <si>
    <t>U081</t>
  </si>
  <si>
    <t>U082</t>
  </si>
  <si>
    <t>U083</t>
  </si>
  <si>
    <t>U084</t>
  </si>
  <si>
    <t>U085</t>
  </si>
  <si>
    <t>U086</t>
  </si>
  <si>
    <t>U087</t>
  </si>
  <si>
    <t>U088</t>
  </si>
  <si>
    <t>U089</t>
  </si>
  <si>
    <t>U090</t>
  </si>
  <si>
    <t>U091</t>
  </si>
  <si>
    <t>U092</t>
  </si>
  <si>
    <t>U093</t>
  </si>
  <si>
    <t>U094</t>
  </si>
  <si>
    <t>U095</t>
  </si>
  <si>
    <t>U096</t>
  </si>
  <si>
    <t>U097</t>
  </si>
  <si>
    <t>U098</t>
  </si>
  <si>
    <t>U099</t>
  </si>
  <si>
    <t>U100</t>
  </si>
  <si>
    <t>NPS Comment</t>
  </si>
  <si>
    <t>SUS_Total</t>
  </si>
  <si>
    <t>Time Difference</t>
  </si>
  <si>
    <t>UX_Risk_Points</t>
  </si>
  <si>
    <t>Task_Completion_Flag</t>
  </si>
  <si>
    <t>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</si>
</sst>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\ hh:mm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color rgb="FFFFFFFF"/>
      <name val="Times New Roman"/>
      <family val="1"/>
    </font>
    <font>
      <sz val="14"/>
      <color theme="1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11110F"/>
      </patternFill>
    </fill>
    <fill>
      <patternFill patternType="solid">
        <fgColor rgb="FFFFF2B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4C7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/>
    <xf numFmtId="0" fontId="4" fillId="3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1" fillId="2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B00CA-8CEB-45CF-9599-218C519F219C}">
  <sheetPr>
    <pageSetUpPr fitToPage="1"/>
  </sheetPr>
  <dimension ref="A1:B21"/>
  <sheetViews>
    <sheetView zoomScale="97" workbookViewId="0">
      <pane ySplit="1" topLeftCell="A2" activePane="bottomLeft" state="frozen"/>
      <selection sqref="A1:B1"/>
      <selection pane="bottomLeft" activeCell="B18" sqref="B18"/>
    </sheetView>
  </sheetViews>
  <sheetFormatPr defaultRowHeight="18" x14ac:dyDescent="0.35"/>
  <cols>
    <col min="1" max="1" width="22.33203125" style="5" bestFit="1" customWidth="1"/>
    <col min="2" max="2" width="99.77734375" style="5" bestFit="1" customWidth="1"/>
    <col min="3" max="16384" width="8.88671875" style="5"/>
  </cols>
  <sheetData>
    <row r="1" spans="1:2" x14ac:dyDescent="0.35">
      <c r="A1" s="7" t="s">
        <v>0</v>
      </c>
      <c r="B1" s="8"/>
    </row>
    <row r="2" spans="1:2" x14ac:dyDescent="0.35">
      <c r="A2" s="6" t="s">
        <v>1</v>
      </c>
      <c r="B2" s="4" t="s">
        <v>2</v>
      </c>
    </row>
    <row r="3" spans="1:2" x14ac:dyDescent="0.35">
      <c r="A3" s="6" t="s">
        <v>3</v>
      </c>
      <c r="B3" s="4" t="s">
        <v>4</v>
      </c>
    </row>
    <row r="4" spans="1:2" x14ac:dyDescent="0.35">
      <c r="A4" s="6" t="s">
        <v>5</v>
      </c>
      <c r="B4" s="4" t="s">
        <v>6</v>
      </c>
    </row>
    <row r="5" spans="1:2" ht="36" x14ac:dyDescent="0.35">
      <c r="A5" s="6" t="s">
        <v>7</v>
      </c>
      <c r="B5" s="4" t="s">
        <v>8</v>
      </c>
    </row>
    <row r="6" spans="1:2" ht="36" x14ac:dyDescent="0.35">
      <c r="A6" s="6" t="s">
        <v>9</v>
      </c>
      <c r="B6" s="4" t="s">
        <v>10</v>
      </c>
    </row>
    <row r="7" spans="1:2" ht="36" x14ac:dyDescent="0.35">
      <c r="A7" s="6" t="s">
        <v>11</v>
      </c>
      <c r="B7" s="4" t="s">
        <v>12</v>
      </c>
    </row>
    <row r="8" spans="1:2" x14ac:dyDescent="0.35">
      <c r="A8" s="6" t="s">
        <v>13</v>
      </c>
      <c r="B8" s="4" t="s">
        <v>14</v>
      </c>
    </row>
    <row r="9" spans="1:2" x14ac:dyDescent="0.35">
      <c r="A9" s="6" t="s">
        <v>15</v>
      </c>
      <c r="B9" s="4" t="s">
        <v>16</v>
      </c>
    </row>
    <row r="10" spans="1:2" ht="36" x14ac:dyDescent="0.35">
      <c r="A10" s="6" t="s">
        <v>17</v>
      </c>
      <c r="B10" s="4" t="s">
        <v>18</v>
      </c>
    </row>
    <row r="11" spans="1:2" x14ac:dyDescent="0.35">
      <c r="A11" s="6" t="s">
        <v>19</v>
      </c>
      <c r="B11" s="4" t="s">
        <v>20</v>
      </c>
    </row>
    <row r="12" spans="1:2" x14ac:dyDescent="0.35">
      <c r="A12" s="6" t="s">
        <v>21</v>
      </c>
      <c r="B12" s="4" t="s">
        <v>22</v>
      </c>
    </row>
    <row r="13" spans="1:2" x14ac:dyDescent="0.35">
      <c r="A13" s="6" t="s">
        <v>23</v>
      </c>
      <c r="B13" s="4" t="s">
        <v>24</v>
      </c>
    </row>
    <row r="14" spans="1:2" x14ac:dyDescent="0.35">
      <c r="A14" s="6" t="s">
        <v>25</v>
      </c>
      <c r="B14" s="4" t="s">
        <v>26</v>
      </c>
    </row>
    <row r="15" spans="1:2" x14ac:dyDescent="0.35">
      <c r="A15" s="6" t="s">
        <v>27</v>
      </c>
      <c r="B15" s="4" t="s">
        <v>28</v>
      </c>
    </row>
    <row r="16" spans="1:2" x14ac:dyDescent="0.35">
      <c r="A16" s="6" t="s">
        <v>29</v>
      </c>
      <c r="B16" s="4" t="s">
        <v>30</v>
      </c>
    </row>
    <row r="17" spans="1:2" x14ac:dyDescent="0.35">
      <c r="A17" s="6" t="s">
        <v>31</v>
      </c>
      <c r="B17" s="4" t="s">
        <v>32</v>
      </c>
    </row>
    <row r="18" spans="1:2" x14ac:dyDescent="0.35">
      <c r="A18" s="6" t="s">
        <v>33</v>
      </c>
      <c r="B18" s="4" t="s">
        <v>34</v>
      </c>
    </row>
    <row r="19" spans="1:2" ht="36" x14ac:dyDescent="0.35">
      <c r="A19" s="6" t="s">
        <v>35</v>
      </c>
      <c r="B19" s="4" t="s">
        <v>36</v>
      </c>
    </row>
    <row r="20" spans="1:2" ht="36" x14ac:dyDescent="0.35">
      <c r="A20" s="6" t="s">
        <v>37</v>
      </c>
      <c r="B20" s="4" t="s">
        <v>38</v>
      </c>
    </row>
    <row r="21" spans="1:2" ht="36" x14ac:dyDescent="0.35">
      <c r="A21" s="6" t="s">
        <v>39</v>
      </c>
      <c r="B21" s="4" t="s">
        <v>40</v>
      </c>
    </row>
  </sheetData>
  <mergeCells count="1">
    <mergeCell ref="A1:B1"/>
  </mergeCells>
  <pageMargins left="0.75" right="0.75" top="1" bottom="1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37E7-306F-45FE-B9D6-C4CACE93F528}">
  <sheetPr>
    <pageSetUpPr fitToPage="1"/>
  </sheetPr>
  <dimension ref="A1:V101"/>
  <sheetViews>
    <sheetView topLeftCell="J1" zoomScale="94" workbookViewId="0">
      <pane ySplit="1" topLeftCell="A85" activePane="bottomLeft" state="frozen"/>
      <selection sqref="A1:B1"/>
      <selection pane="bottomLeft" activeCell="O2" sqref="O2:P101"/>
    </sheetView>
  </sheetViews>
  <sheetFormatPr defaultRowHeight="14.4" x14ac:dyDescent="0.3"/>
  <cols>
    <col min="1" max="1" width="12" customWidth="1"/>
    <col min="2" max="13" width="14" customWidth="1"/>
    <col min="15" max="16" width="21" customWidth="1"/>
    <col min="17" max="22" width="14" customWidth="1"/>
  </cols>
  <sheetData>
    <row r="1" spans="1:22" ht="22.05" customHeight="1" x14ac:dyDescent="0.3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54</v>
      </c>
      <c r="O1" s="2" t="s">
        <v>55</v>
      </c>
      <c r="P1" s="2" t="s">
        <v>56</v>
      </c>
      <c r="Q1" s="2" t="s">
        <v>57</v>
      </c>
      <c r="R1" s="2" t="s">
        <v>58</v>
      </c>
      <c r="S1" s="2" t="s">
        <v>59</v>
      </c>
      <c r="T1" s="2" t="s">
        <v>60</v>
      </c>
      <c r="U1" s="2" t="s">
        <v>61</v>
      </c>
      <c r="V1" s="2" t="s">
        <v>62</v>
      </c>
    </row>
    <row r="2" spans="1:22" ht="22.05" customHeight="1" x14ac:dyDescent="0.3">
      <c r="A2" s="1" t="s">
        <v>63</v>
      </c>
      <c r="B2" s="1">
        <v>7</v>
      </c>
      <c r="C2" s="1">
        <v>4</v>
      </c>
      <c r="D2" s="1">
        <v>3</v>
      </c>
      <c r="E2" s="1">
        <v>2</v>
      </c>
      <c r="F2" s="1">
        <v>3</v>
      </c>
      <c r="G2" s="1">
        <v>3</v>
      </c>
      <c r="H2" s="1">
        <v>3</v>
      </c>
      <c r="I2" s="1">
        <v>3</v>
      </c>
      <c r="J2" s="1">
        <v>3</v>
      </c>
      <c r="K2" s="1">
        <v>4</v>
      </c>
      <c r="L2" s="1">
        <v>4</v>
      </c>
      <c r="M2" s="1">
        <v>3</v>
      </c>
      <c r="N2" s="1">
        <v>4</v>
      </c>
      <c r="O2" s="3">
        <v>46224.68472222222</v>
      </c>
      <c r="P2" s="3">
        <v>46224.691666666673</v>
      </c>
      <c r="Q2" s="1">
        <v>6</v>
      </c>
      <c r="R2" s="1">
        <v>2</v>
      </c>
      <c r="S2" s="1">
        <v>8</v>
      </c>
      <c r="T2" s="1">
        <v>1</v>
      </c>
      <c r="U2" s="1">
        <v>1</v>
      </c>
      <c r="V2" s="1">
        <v>0</v>
      </c>
    </row>
    <row r="3" spans="1:22" ht="22.05" customHeight="1" x14ac:dyDescent="0.3">
      <c r="A3" s="1" t="s">
        <v>64</v>
      </c>
      <c r="B3" s="1">
        <v>5</v>
      </c>
      <c r="C3" s="1">
        <v>3</v>
      </c>
      <c r="D3" s="1">
        <v>2</v>
      </c>
      <c r="E3" s="1">
        <v>4</v>
      </c>
      <c r="F3" s="1">
        <v>3</v>
      </c>
      <c r="G3" s="1">
        <v>2</v>
      </c>
      <c r="H3" s="1">
        <v>3</v>
      </c>
      <c r="I3" s="1">
        <v>2</v>
      </c>
      <c r="J3" s="1">
        <v>2</v>
      </c>
      <c r="K3" s="1">
        <v>2</v>
      </c>
      <c r="L3" s="1">
        <v>3</v>
      </c>
      <c r="M3" s="1">
        <v>3</v>
      </c>
      <c r="N3" s="1">
        <v>4</v>
      </c>
      <c r="O3" s="3">
        <v>46213.412499999999</v>
      </c>
      <c r="P3" s="3">
        <v>46213.419444444437</v>
      </c>
      <c r="Q3" s="1">
        <v>5</v>
      </c>
      <c r="R3" s="1">
        <v>1</v>
      </c>
      <c r="S3" s="1">
        <v>7</v>
      </c>
      <c r="T3" s="1">
        <v>1</v>
      </c>
      <c r="U3" s="1">
        <v>0</v>
      </c>
      <c r="V3" s="1">
        <v>1</v>
      </c>
    </row>
    <row r="4" spans="1:22" ht="22.05" customHeight="1" x14ac:dyDescent="0.3">
      <c r="A4" s="1" t="s">
        <v>65</v>
      </c>
      <c r="B4" s="1">
        <v>6</v>
      </c>
      <c r="C4" s="1">
        <v>3</v>
      </c>
      <c r="D4" s="1">
        <v>1</v>
      </c>
      <c r="E4" s="1">
        <v>4</v>
      </c>
      <c r="F4" s="1">
        <v>2</v>
      </c>
      <c r="G4" s="1">
        <v>2</v>
      </c>
      <c r="H4" s="1">
        <v>2</v>
      </c>
      <c r="I4" s="1">
        <v>2</v>
      </c>
      <c r="J4" s="1">
        <v>3</v>
      </c>
      <c r="K4" s="1">
        <v>2</v>
      </c>
      <c r="L4" s="1">
        <v>3</v>
      </c>
      <c r="M4" s="1">
        <v>3</v>
      </c>
      <c r="N4" s="1">
        <v>4</v>
      </c>
      <c r="O4" s="3">
        <v>46212.384027777778</v>
      </c>
      <c r="P4" s="3">
        <v>46212.393750000003</v>
      </c>
      <c r="Q4" s="1">
        <v>4</v>
      </c>
      <c r="R4" s="1">
        <v>1</v>
      </c>
      <c r="S4" s="1">
        <v>4</v>
      </c>
      <c r="T4" s="1">
        <v>1</v>
      </c>
      <c r="U4" s="1">
        <v>0</v>
      </c>
      <c r="V4" s="1">
        <v>1</v>
      </c>
    </row>
    <row r="5" spans="1:22" ht="22.05" customHeight="1" x14ac:dyDescent="0.3">
      <c r="A5" s="1" t="s">
        <v>66</v>
      </c>
      <c r="B5" s="1">
        <v>6</v>
      </c>
      <c r="C5" s="1">
        <v>3</v>
      </c>
      <c r="D5" s="1">
        <v>3</v>
      </c>
      <c r="E5" s="1">
        <v>3</v>
      </c>
      <c r="F5" s="1">
        <v>3</v>
      </c>
      <c r="G5" s="1">
        <v>2</v>
      </c>
      <c r="H5" s="1">
        <v>3</v>
      </c>
      <c r="I5" s="1">
        <v>3</v>
      </c>
      <c r="J5" s="1">
        <v>3</v>
      </c>
      <c r="K5" s="1">
        <v>3</v>
      </c>
      <c r="L5" s="1">
        <v>4</v>
      </c>
      <c r="M5" s="1">
        <v>2</v>
      </c>
      <c r="N5" s="1">
        <v>4</v>
      </c>
      <c r="O5" s="3">
        <v>46223.647916666669</v>
      </c>
      <c r="P5" s="3">
        <v>46223.654166666667</v>
      </c>
      <c r="Q5" s="1">
        <v>5</v>
      </c>
      <c r="R5" s="1">
        <v>1</v>
      </c>
      <c r="S5" s="1">
        <v>8</v>
      </c>
      <c r="T5" s="1">
        <v>1</v>
      </c>
      <c r="U5" s="1">
        <v>1</v>
      </c>
      <c r="V5" s="1">
        <v>1</v>
      </c>
    </row>
    <row r="6" spans="1:22" ht="22.05" customHeight="1" x14ac:dyDescent="0.3">
      <c r="A6" s="1" t="s">
        <v>67</v>
      </c>
      <c r="B6" s="1">
        <v>7</v>
      </c>
      <c r="C6" s="1">
        <v>4</v>
      </c>
      <c r="D6" s="1">
        <v>4</v>
      </c>
      <c r="E6" s="1">
        <v>3</v>
      </c>
      <c r="F6" s="1">
        <v>3</v>
      </c>
      <c r="G6" s="1">
        <v>3</v>
      </c>
      <c r="H6" s="1">
        <v>2</v>
      </c>
      <c r="I6" s="1">
        <v>2</v>
      </c>
      <c r="J6" s="1">
        <v>3</v>
      </c>
      <c r="K6" s="1">
        <v>3</v>
      </c>
      <c r="L6" s="1">
        <v>3</v>
      </c>
      <c r="M6" s="1">
        <v>4</v>
      </c>
      <c r="N6" s="1">
        <v>3</v>
      </c>
      <c r="O6" s="3">
        <v>46228.706944444442</v>
      </c>
      <c r="P6" s="3">
        <v>46228.715277777781</v>
      </c>
      <c r="Q6" s="1">
        <v>4</v>
      </c>
      <c r="R6" s="1">
        <v>1</v>
      </c>
      <c r="S6" s="1">
        <v>6</v>
      </c>
      <c r="T6" s="1">
        <v>0</v>
      </c>
      <c r="U6" s="1">
        <v>0</v>
      </c>
      <c r="V6" s="1">
        <v>1</v>
      </c>
    </row>
    <row r="7" spans="1:22" ht="22.05" customHeight="1" x14ac:dyDescent="0.3">
      <c r="A7" s="1" t="s">
        <v>68</v>
      </c>
      <c r="B7" s="1">
        <v>7</v>
      </c>
      <c r="C7" s="1">
        <v>4</v>
      </c>
      <c r="D7" s="1">
        <v>2</v>
      </c>
      <c r="E7" s="1">
        <v>4</v>
      </c>
      <c r="F7" s="1">
        <v>4</v>
      </c>
      <c r="G7" s="1">
        <v>3</v>
      </c>
      <c r="H7" s="1">
        <v>3</v>
      </c>
      <c r="I7" s="1">
        <v>4</v>
      </c>
      <c r="J7" s="1">
        <v>3</v>
      </c>
      <c r="K7" s="1">
        <v>4</v>
      </c>
      <c r="L7" s="1">
        <v>4</v>
      </c>
      <c r="M7" s="1">
        <v>3</v>
      </c>
      <c r="N7" s="1">
        <v>4</v>
      </c>
      <c r="O7" s="3">
        <v>46213.612500000003</v>
      </c>
      <c r="P7" s="3">
        <v>46213.616666666669</v>
      </c>
      <c r="Q7" s="1">
        <v>3</v>
      </c>
      <c r="R7" s="1">
        <v>2</v>
      </c>
      <c r="S7" s="1">
        <v>5</v>
      </c>
      <c r="T7" s="1">
        <v>1</v>
      </c>
      <c r="U7" s="1">
        <v>1</v>
      </c>
      <c r="V7" s="1">
        <v>1</v>
      </c>
    </row>
    <row r="8" spans="1:22" ht="22.05" customHeight="1" x14ac:dyDescent="0.3">
      <c r="A8" s="1" t="s">
        <v>69</v>
      </c>
      <c r="B8" s="1">
        <v>8</v>
      </c>
      <c r="C8" s="1">
        <v>3</v>
      </c>
      <c r="D8" s="1">
        <v>4</v>
      </c>
      <c r="E8" s="1">
        <v>3</v>
      </c>
      <c r="F8" s="1">
        <v>4</v>
      </c>
      <c r="G8" s="1">
        <v>3</v>
      </c>
      <c r="H8" s="1">
        <v>3</v>
      </c>
      <c r="I8" s="1">
        <v>3</v>
      </c>
      <c r="J8" s="1">
        <v>4</v>
      </c>
      <c r="K8" s="1">
        <v>4</v>
      </c>
      <c r="L8" s="1">
        <v>3</v>
      </c>
      <c r="M8" s="1">
        <v>3</v>
      </c>
      <c r="N8" s="1">
        <v>3</v>
      </c>
      <c r="O8" s="3">
        <v>46229.660416666673</v>
      </c>
      <c r="P8" s="3">
        <v>46229.665972222218</v>
      </c>
      <c r="Q8" s="1">
        <v>5</v>
      </c>
      <c r="R8" s="1">
        <v>1</v>
      </c>
      <c r="S8" s="1">
        <v>4</v>
      </c>
      <c r="T8" s="1">
        <v>1</v>
      </c>
      <c r="U8" s="1">
        <v>1</v>
      </c>
      <c r="V8" s="1">
        <v>1</v>
      </c>
    </row>
    <row r="9" spans="1:22" ht="22.05" customHeight="1" x14ac:dyDescent="0.3">
      <c r="A9" s="1" t="s">
        <v>70</v>
      </c>
      <c r="B9" s="1">
        <v>8</v>
      </c>
      <c r="C9" s="1">
        <v>4</v>
      </c>
      <c r="D9" s="1">
        <v>3</v>
      </c>
      <c r="E9" s="1">
        <v>4</v>
      </c>
      <c r="F9" s="1">
        <v>4</v>
      </c>
      <c r="G9" s="1">
        <v>3</v>
      </c>
      <c r="H9" s="1">
        <v>3</v>
      </c>
      <c r="I9" s="1">
        <v>4</v>
      </c>
      <c r="J9" s="1">
        <v>2</v>
      </c>
      <c r="K9" s="1">
        <v>4</v>
      </c>
      <c r="L9" s="1">
        <v>4</v>
      </c>
      <c r="M9" s="1">
        <v>3</v>
      </c>
      <c r="N9" s="1">
        <v>3</v>
      </c>
      <c r="O9" s="3">
        <v>46206.465277777781</v>
      </c>
      <c r="P9" s="3">
        <v>46206.47152777778</v>
      </c>
      <c r="Q9" s="1">
        <v>3</v>
      </c>
      <c r="R9" s="1">
        <v>1</v>
      </c>
      <c r="S9" s="1">
        <v>7</v>
      </c>
      <c r="T9" s="1">
        <v>1</v>
      </c>
      <c r="U9" s="1">
        <v>1</v>
      </c>
      <c r="V9" s="1">
        <v>0</v>
      </c>
    </row>
    <row r="10" spans="1:22" ht="22.05" customHeight="1" x14ac:dyDescent="0.3">
      <c r="A10" s="1" t="s">
        <v>71</v>
      </c>
      <c r="B10" s="1">
        <v>7</v>
      </c>
      <c r="C10" s="1">
        <v>4</v>
      </c>
      <c r="D10" s="1">
        <v>4</v>
      </c>
      <c r="E10" s="1">
        <v>2</v>
      </c>
      <c r="F10" s="1">
        <v>3</v>
      </c>
      <c r="G10" s="1">
        <v>3</v>
      </c>
      <c r="H10" s="1">
        <v>3</v>
      </c>
      <c r="I10" s="1">
        <v>4</v>
      </c>
      <c r="J10" s="1">
        <v>3</v>
      </c>
      <c r="K10" s="1">
        <v>3</v>
      </c>
      <c r="L10" s="1">
        <v>3</v>
      </c>
      <c r="M10" s="1">
        <v>4</v>
      </c>
      <c r="N10" s="1">
        <v>2</v>
      </c>
      <c r="O10" s="3">
        <v>46219.706944444442</v>
      </c>
      <c r="P10" s="3">
        <v>46219.713888888888</v>
      </c>
      <c r="Q10" s="1">
        <v>4</v>
      </c>
      <c r="R10" s="1">
        <v>2</v>
      </c>
      <c r="S10" s="1">
        <v>6</v>
      </c>
      <c r="T10" s="1">
        <v>1</v>
      </c>
      <c r="U10" s="1">
        <v>0</v>
      </c>
      <c r="V10" s="1">
        <v>1</v>
      </c>
    </row>
    <row r="11" spans="1:22" ht="22.05" customHeight="1" x14ac:dyDescent="0.3">
      <c r="A11" s="1" t="s">
        <v>72</v>
      </c>
      <c r="B11" s="1">
        <v>5</v>
      </c>
      <c r="C11" s="1">
        <v>3</v>
      </c>
      <c r="D11" s="1">
        <v>3</v>
      </c>
      <c r="E11" s="1">
        <v>1</v>
      </c>
      <c r="F11" s="1">
        <v>3</v>
      </c>
      <c r="G11" s="1">
        <v>3</v>
      </c>
      <c r="H11" s="1">
        <v>4</v>
      </c>
      <c r="I11" s="1">
        <v>3</v>
      </c>
      <c r="J11" s="1">
        <v>3</v>
      </c>
      <c r="K11" s="1">
        <v>2</v>
      </c>
      <c r="L11" s="1">
        <v>2</v>
      </c>
      <c r="M11" s="1">
        <v>2</v>
      </c>
      <c r="N11" s="1">
        <v>3</v>
      </c>
      <c r="O11" s="3">
        <v>46206.353472222218</v>
      </c>
      <c r="P11" s="3">
        <v>46206.364583333343</v>
      </c>
      <c r="Q11" s="1">
        <v>4</v>
      </c>
      <c r="R11" s="1">
        <v>2</v>
      </c>
      <c r="S11" s="1">
        <v>3</v>
      </c>
      <c r="T11" s="1">
        <v>1</v>
      </c>
      <c r="U11" s="1">
        <v>1</v>
      </c>
      <c r="V11" s="1">
        <v>1</v>
      </c>
    </row>
    <row r="12" spans="1:22" ht="22.05" customHeight="1" x14ac:dyDescent="0.3">
      <c r="A12" s="1" t="s">
        <v>73</v>
      </c>
      <c r="B12" s="1">
        <v>8</v>
      </c>
      <c r="C12" s="1">
        <v>3</v>
      </c>
      <c r="D12" s="1">
        <v>4</v>
      </c>
      <c r="E12" s="1">
        <v>3</v>
      </c>
      <c r="F12" s="1">
        <v>2</v>
      </c>
      <c r="G12" s="1">
        <v>3</v>
      </c>
      <c r="H12" s="1">
        <v>2</v>
      </c>
      <c r="I12" s="1">
        <v>3</v>
      </c>
      <c r="J12" s="1">
        <v>4</v>
      </c>
      <c r="K12" s="1">
        <v>4</v>
      </c>
      <c r="L12" s="1">
        <v>3</v>
      </c>
      <c r="M12" s="1">
        <v>4</v>
      </c>
      <c r="N12" s="1">
        <v>4</v>
      </c>
      <c r="O12" s="3">
        <v>46227.67291666667</v>
      </c>
      <c r="P12" s="3">
        <v>46227.679166666669</v>
      </c>
      <c r="Q12" s="1">
        <v>7</v>
      </c>
      <c r="R12" s="1">
        <v>2</v>
      </c>
      <c r="S12" s="1">
        <v>8</v>
      </c>
      <c r="T12" s="1">
        <v>1</v>
      </c>
      <c r="U12" s="1">
        <v>1</v>
      </c>
      <c r="V12" s="1">
        <v>1</v>
      </c>
    </row>
    <row r="13" spans="1:22" ht="22.05" customHeight="1" x14ac:dyDescent="0.3">
      <c r="A13" s="1" t="s">
        <v>74</v>
      </c>
      <c r="B13" s="1">
        <v>5</v>
      </c>
      <c r="C13" s="1">
        <v>3</v>
      </c>
      <c r="D13" s="1">
        <v>2</v>
      </c>
      <c r="E13" s="1">
        <v>2</v>
      </c>
      <c r="F13" s="1">
        <v>2</v>
      </c>
      <c r="G13" s="1">
        <v>4</v>
      </c>
      <c r="H13" s="1">
        <v>3</v>
      </c>
      <c r="I13" s="1">
        <v>3</v>
      </c>
      <c r="J13" s="1">
        <v>2</v>
      </c>
      <c r="K13" s="1">
        <v>3</v>
      </c>
      <c r="L13" s="1">
        <v>2</v>
      </c>
      <c r="M13" s="1">
        <v>3</v>
      </c>
      <c r="N13" s="1">
        <v>5</v>
      </c>
      <c r="O13" s="3">
        <v>46213.581250000003</v>
      </c>
      <c r="P13" s="3">
        <v>46213.59097222222</v>
      </c>
      <c r="Q13" s="1">
        <v>9</v>
      </c>
      <c r="R13" s="1">
        <v>1</v>
      </c>
      <c r="S13" s="1">
        <v>1</v>
      </c>
      <c r="T13" s="1">
        <v>0</v>
      </c>
      <c r="U13" s="1">
        <v>1</v>
      </c>
      <c r="V13" s="1">
        <v>1</v>
      </c>
    </row>
    <row r="14" spans="1:22" ht="22.05" customHeight="1" x14ac:dyDescent="0.3">
      <c r="A14" s="1" t="s">
        <v>75</v>
      </c>
      <c r="B14" s="1">
        <v>7</v>
      </c>
      <c r="C14" s="1">
        <v>4</v>
      </c>
      <c r="D14" s="1">
        <v>4</v>
      </c>
      <c r="E14" s="1">
        <v>3</v>
      </c>
      <c r="F14" s="1">
        <v>3</v>
      </c>
      <c r="G14" s="1">
        <v>4</v>
      </c>
      <c r="H14" s="1">
        <v>3</v>
      </c>
      <c r="I14" s="1">
        <v>3</v>
      </c>
      <c r="J14" s="1">
        <v>4</v>
      </c>
      <c r="K14" s="1">
        <v>4</v>
      </c>
      <c r="L14" s="1">
        <v>3</v>
      </c>
      <c r="M14" s="1">
        <v>3</v>
      </c>
      <c r="N14" s="1">
        <v>4</v>
      </c>
      <c r="O14" s="3">
        <v>46219.466666666667</v>
      </c>
      <c r="P14" s="3">
        <v>46219.473611111112</v>
      </c>
      <c r="Q14" s="1">
        <v>3</v>
      </c>
      <c r="R14" s="1">
        <v>1</v>
      </c>
      <c r="S14" s="1">
        <v>8</v>
      </c>
      <c r="T14" s="1">
        <v>1</v>
      </c>
      <c r="U14" s="1">
        <v>0</v>
      </c>
      <c r="V14" s="1">
        <v>0</v>
      </c>
    </row>
    <row r="15" spans="1:22" ht="22.05" customHeight="1" x14ac:dyDescent="0.3">
      <c r="A15" s="1" t="s">
        <v>76</v>
      </c>
      <c r="B15" s="1">
        <v>9</v>
      </c>
      <c r="C15" s="1">
        <v>5</v>
      </c>
      <c r="D15" s="1">
        <v>5</v>
      </c>
      <c r="E15" s="1">
        <v>3</v>
      </c>
      <c r="F15" s="1">
        <v>4</v>
      </c>
      <c r="G15" s="1">
        <v>5</v>
      </c>
      <c r="H15" s="1">
        <v>5</v>
      </c>
      <c r="I15" s="1">
        <v>5</v>
      </c>
      <c r="J15" s="1">
        <v>5</v>
      </c>
      <c r="K15" s="1">
        <v>4</v>
      </c>
      <c r="L15" s="1">
        <v>4</v>
      </c>
      <c r="M15" s="1">
        <v>3</v>
      </c>
      <c r="N15" s="1">
        <v>1</v>
      </c>
      <c r="O15" s="3">
        <v>46214.609722222223</v>
      </c>
      <c r="P15" s="3">
        <v>46214.614583333343</v>
      </c>
      <c r="Q15" s="1">
        <v>4</v>
      </c>
      <c r="R15" s="1">
        <v>1</v>
      </c>
      <c r="S15" s="1">
        <v>8</v>
      </c>
      <c r="T15" s="1">
        <v>1</v>
      </c>
      <c r="U15" s="1">
        <v>1</v>
      </c>
      <c r="V15" s="1">
        <v>1</v>
      </c>
    </row>
    <row r="16" spans="1:22" ht="22.05" customHeight="1" x14ac:dyDescent="0.3">
      <c r="A16" s="1" t="s">
        <v>77</v>
      </c>
      <c r="B16" s="1">
        <v>9</v>
      </c>
      <c r="C16" s="1">
        <v>5</v>
      </c>
      <c r="D16" s="1">
        <v>5</v>
      </c>
      <c r="E16" s="1">
        <v>4</v>
      </c>
      <c r="F16" s="1">
        <v>4</v>
      </c>
      <c r="G16" s="1">
        <v>4</v>
      </c>
      <c r="H16" s="1">
        <v>5</v>
      </c>
      <c r="I16" s="1">
        <v>5</v>
      </c>
      <c r="J16" s="1">
        <v>3</v>
      </c>
      <c r="K16" s="1">
        <v>4</v>
      </c>
      <c r="L16" s="1">
        <v>4</v>
      </c>
      <c r="M16" s="1">
        <v>5</v>
      </c>
      <c r="N16" s="1">
        <v>3</v>
      </c>
      <c r="O16" s="3">
        <v>46221.425000000003</v>
      </c>
      <c r="P16" s="3">
        <v>46221.426388888889</v>
      </c>
      <c r="Q16" s="1">
        <v>5</v>
      </c>
      <c r="R16" s="1">
        <v>0</v>
      </c>
      <c r="S16" s="1">
        <v>11</v>
      </c>
      <c r="T16" s="1">
        <v>1</v>
      </c>
      <c r="U16" s="1">
        <v>1</v>
      </c>
      <c r="V16" s="1">
        <v>1</v>
      </c>
    </row>
    <row r="17" spans="1:22" ht="22.05" customHeight="1" x14ac:dyDescent="0.3">
      <c r="A17" s="1" t="s">
        <v>78</v>
      </c>
      <c r="B17" s="1">
        <v>6</v>
      </c>
      <c r="C17" s="1">
        <v>4</v>
      </c>
      <c r="D17" s="1">
        <v>4</v>
      </c>
      <c r="E17" s="1">
        <v>4</v>
      </c>
      <c r="F17" s="1">
        <v>3</v>
      </c>
      <c r="G17" s="1">
        <v>3</v>
      </c>
      <c r="H17" s="1">
        <v>3</v>
      </c>
      <c r="I17" s="1">
        <v>2</v>
      </c>
      <c r="J17" s="1">
        <v>3</v>
      </c>
      <c r="K17" s="1">
        <v>3</v>
      </c>
      <c r="L17" s="1">
        <v>4</v>
      </c>
      <c r="M17" s="1">
        <v>3</v>
      </c>
      <c r="N17" s="1">
        <v>4</v>
      </c>
      <c r="O17" s="3">
        <v>46211.464583333327</v>
      </c>
      <c r="P17" s="3">
        <v>46211.467361111107</v>
      </c>
      <c r="Q17" s="1">
        <v>6</v>
      </c>
      <c r="R17" s="1">
        <v>2</v>
      </c>
      <c r="S17" s="1">
        <v>6</v>
      </c>
      <c r="T17" s="1">
        <v>1</v>
      </c>
      <c r="U17" s="1">
        <v>1</v>
      </c>
      <c r="V17" s="1">
        <v>1</v>
      </c>
    </row>
    <row r="18" spans="1:22" ht="22.05" customHeight="1" x14ac:dyDescent="0.3">
      <c r="A18" s="1" t="s">
        <v>79</v>
      </c>
      <c r="B18" s="1">
        <v>4</v>
      </c>
      <c r="C18" s="1">
        <v>3</v>
      </c>
      <c r="D18" s="1">
        <v>3</v>
      </c>
      <c r="E18" s="1">
        <v>2</v>
      </c>
      <c r="F18" s="1">
        <v>3</v>
      </c>
      <c r="G18" s="1">
        <v>3</v>
      </c>
      <c r="H18" s="1">
        <v>2</v>
      </c>
      <c r="I18" s="1">
        <v>2</v>
      </c>
      <c r="J18" s="1">
        <v>2</v>
      </c>
      <c r="K18" s="1">
        <v>3</v>
      </c>
      <c r="L18" s="1">
        <v>1</v>
      </c>
      <c r="M18" s="1">
        <v>2</v>
      </c>
      <c r="N18" s="1">
        <v>4</v>
      </c>
      <c r="O18" s="3">
        <v>46225.690972222219</v>
      </c>
      <c r="P18" s="3">
        <v>46225.696527777778</v>
      </c>
      <c r="Q18" s="1">
        <v>4</v>
      </c>
      <c r="R18" s="1">
        <v>0</v>
      </c>
      <c r="S18" s="1">
        <v>4</v>
      </c>
      <c r="T18" s="1">
        <v>0</v>
      </c>
      <c r="U18" s="1">
        <v>0</v>
      </c>
      <c r="V18" s="1">
        <v>1</v>
      </c>
    </row>
    <row r="19" spans="1:22" ht="22.05" customHeight="1" x14ac:dyDescent="0.3">
      <c r="A19" s="1" t="s">
        <v>80</v>
      </c>
      <c r="B19" s="1">
        <v>5</v>
      </c>
      <c r="C19" s="1">
        <v>3</v>
      </c>
      <c r="D19" s="1">
        <v>2</v>
      </c>
      <c r="E19" s="1">
        <v>2</v>
      </c>
      <c r="F19" s="1">
        <v>2</v>
      </c>
      <c r="G19" s="1">
        <v>2</v>
      </c>
      <c r="H19" s="1">
        <v>3</v>
      </c>
      <c r="I19" s="1">
        <v>2</v>
      </c>
      <c r="J19" s="1">
        <v>3</v>
      </c>
      <c r="K19" s="1">
        <v>2</v>
      </c>
      <c r="L19" s="1">
        <v>3</v>
      </c>
      <c r="M19" s="1">
        <v>3</v>
      </c>
      <c r="N19" s="1">
        <v>4</v>
      </c>
      <c r="O19" s="3">
        <v>46226.447916666657</v>
      </c>
      <c r="P19" s="3">
        <v>46226.457638888889</v>
      </c>
      <c r="Q19" s="1">
        <v>6</v>
      </c>
      <c r="R19" s="1">
        <v>1</v>
      </c>
      <c r="S19" s="1">
        <v>6</v>
      </c>
      <c r="T19" s="1">
        <v>0</v>
      </c>
      <c r="U19" s="1">
        <v>1</v>
      </c>
      <c r="V19" s="1">
        <v>0</v>
      </c>
    </row>
    <row r="20" spans="1:22" ht="22.05" customHeight="1" x14ac:dyDescent="0.3">
      <c r="A20" s="1" t="s">
        <v>81</v>
      </c>
      <c r="B20" s="1">
        <v>5</v>
      </c>
      <c r="C20" s="1">
        <v>3</v>
      </c>
      <c r="D20" s="1">
        <v>1</v>
      </c>
      <c r="E20" s="1">
        <v>3</v>
      </c>
      <c r="F20" s="1">
        <v>3</v>
      </c>
      <c r="G20" s="1">
        <v>2</v>
      </c>
      <c r="H20" s="1">
        <v>2</v>
      </c>
      <c r="I20" s="1">
        <v>1</v>
      </c>
      <c r="J20" s="1">
        <v>3</v>
      </c>
      <c r="K20" s="1">
        <v>2</v>
      </c>
      <c r="L20" s="1">
        <v>2</v>
      </c>
      <c r="M20" s="1">
        <v>3</v>
      </c>
      <c r="N20" s="1">
        <v>4</v>
      </c>
      <c r="O20" s="3">
        <v>46216.570833333331</v>
      </c>
      <c r="P20" s="3">
        <v>46216.578472222223</v>
      </c>
      <c r="Q20" s="1">
        <v>4</v>
      </c>
      <c r="R20" s="1">
        <v>2</v>
      </c>
      <c r="S20" s="1">
        <v>6</v>
      </c>
      <c r="T20" s="1">
        <v>1</v>
      </c>
      <c r="U20" s="1">
        <v>1</v>
      </c>
      <c r="V20" s="1">
        <v>1</v>
      </c>
    </row>
    <row r="21" spans="1:22" ht="22.05" customHeight="1" x14ac:dyDescent="0.3">
      <c r="A21" s="1" t="s">
        <v>82</v>
      </c>
      <c r="B21" s="1">
        <v>10</v>
      </c>
      <c r="C21" s="1">
        <v>5</v>
      </c>
      <c r="D21" s="1">
        <v>4</v>
      </c>
      <c r="E21" s="1">
        <v>4</v>
      </c>
      <c r="F21" s="1">
        <v>5</v>
      </c>
      <c r="G21" s="1">
        <v>4</v>
      </c>
      <c r="H21" s="1">
        <v>4</v>
      </c>
      <c r="I21" s="1">
        <v>4</v>
      </c>
      <c r="J21" s="1">
        <v>3</v>
      </c>
      <c r="K21" s="1">
        <v>4</v>
      </c>
      <c r="L21" s="1">
        <v>4</v>
      </c>
      <c r="M21" s="1">
        <v>5</v>
      </c>
      <c r="N21" s="1">
        <v>3</v>
      </c>
      <c r="O21" s="3">
        <v>46215.486805555563</v>
      </c>
      <c r="P21" s="3">
        <v>46215.490277777782</v>
      </c>
      <c r="Q21" s="1">
        <v>7</v>
      </c>
      <c r="R21" s="1">
        <v>2</v>
      </c>
      <c r="S21" s="1">
        <v>11</v>
      </c>
      <c r="T21" s="1">
        <v>1</v>
      </c>
      <c r="U21" s="1">
        <v>0</v>
      </c>
      <c r="V21" s="1">
        <v>1</v>
      </c>
    </row>
    <row r="22" spans="1:22" ht="22.05" customHeight="1" x14ac:dyDescent="0.3">
      <c r="A22" s="1" t="s">
        <v>83</v>
      </c>
      <c r="B22" s="1">
        <v>8</v>
      </c>
      <c r="C22" s="1">
        <v>3</v>
      </c>
      <c r="D22" s="1">
        <v>3</v>
      </c>
      <c r="E22" s="1">
        <v>2</v>
      </c>
      <c r="F22" s="1">
        <v>3</v>
      </c>
      <c r="G22" s="1">
        <v>4</v>
      </c>
      <c r="H22" s="1">
        <v>2</v>
      </c>
      <c r="I22" s="1">
        <v>2</v>
      </c>
      <c r="J22" s="1">
        <v>2</v>
      </c>
      <c r="K22" s="1">
        <v>3</v>
      </c>
      <c r="L22" s="1">
        <v>2</v>
      </c>
      <c r="M22" s="1">
        <v>4</v>
      </c>
      <c r="N22" s="1">
        <v>3</v>
      </c>
      <c r="O22" s="3">
        <v>46210.400694444441</v>
      </c>
      <c r="P22" s="3">
        <v>46210.405555555553</v>
      </c>
      <c r="Q22" s="1">
        <v>3</v>
      </c>
      <c r="R22" s="1">
        <v>1</v>
      </c>
      <c r="S22" s="1">
        <v>5</v>
      </c>
      <c r="T22" s="1">
        <v>0</v>
      </c>
      <c r="U22" s="1">
        <v>0</v>
      </c>
      <c r="V22" s="1">
        <v>1</v>
      </c>
    </row>
    <row r="23" spans="1:22" ht="22.05" customHeight="1" x14ac:dyDescent="0.3">
      <c r="A23" s="1" t="s">
        <v>84</v>
      </c>
      <c r="B23" s="1">
        <v>6</v>
      </c>
      <c r="C23" s="1">
        <v>4</v>
      </c>
      <c r="D23" s="1">
        <v>3</v>
      </c>
      <c r="E23" s="1">
        <v>4</v>
      </c>
      <c r="F23" s="1">
        <v>2</v>
      </c>
      <c r="G23" s="1">
        <v>4</v>
      </c>
      <c r="H23" s="1">
        <v>4</v>
      </c>
      <c r="I23" s="1">
        <v>2</v>
      </c>
      <c r="J23" s="1">
        <v>2</v>
      </c>
      <c r="K23" s="1">
        <v>3</v>
      </c>
      <c r="L23" s="1">
        <v>2</v>
      </c>
      <c r="M23" s="1">
        <v>3</v>
      </c>
      <c r="N23" s="1">
        <v>3</v>
      </c>
      <c r="O23" s="3">
        <v>46212.743750000001</v>
      </c>
      <c r="P23" s="3">
        <v>46212.745138888888</v>
      </c>
      <c r="Q23" s="1">
        <v>7</v>
      </c>
      <c r="R23" s="1">
        <v>1</v>
      </c>
      <c r="S23" s="1">
        <v>3</v>
      </c>
      <c r="T23" s="1">
        <v>1</v>
      </c>
      <c r="U23" s="1">
        <v>0</v>
      </c>
      <c r="V23" s="1">
        <v>1</v>
      </c>
    </row>
    <row r="24" spans="1:22" ht="22.05" customHeight="1" x14ac:dyDescent="0.3">
      <c r="A24" s="1" t="s">
        <v>85</v>
      </c>
      <c r="B24" s="1">
        <v>5</v>
      </c>
      <c r="C24" s="1">
        <v>3</v>
      </c>
      <c r="D24" s="1">
        <v>2</v>
      </c>
      <c r="E24" s="1">
        <v>3</v>
      </c>
      <c r="F24" s="1">
        <v>3</v>
      </c>
      <c r="G24" s="1">
        <v>3</v>
      </c>
      <c r="H24" s="1">
        <v>2</v>
      </c>
      <c r="I24" s="1">
        <v>2</v>
      </c>
      <c r="J24" s="1">
        <v>2</v>
      </c>
      <c r="K24" s="1">
        <v>3</v>
      </c>
      <c r="L24" s="1">
        <v>3</v>
      </c>
      <c r="M24" s="1">
        <v>3</v>
      </c>
      <c r="N24" s="1">
        <v>4</v>
      </c>
      <c r="O24" s="3">
        <v>46217.649305555547</v>
      </c>
      <c r="P24" s="3">
        <v>46217.656944444447</v>
      </c>
      <c r="Q24" s="1">
        <v>3</v>
      </c>
      <c r="R24" s="1">
        <v>0</v>
      </c>
      <c r="S24" s="1">
        <v>6</v>
      </c>
      <c r="T24" s="1">
        <v>1</v>
      </c>
      <c r="U24" s="1">
        <v>1</v>
      </c>
      <c r="V24" s="1">
        <v>1</v>
      </c>
    </row>
    <row r="25" spans="1:22" ht="22.05" customHeight="1" x14ac:dyDescent="0.3">
      <c r="A25" s="1" t="s">
        <v>86</v>
      </c>
      <c r="B25" s="1">
        <v>6</v>
      </c>
      <c r="C25" s="1">
        <v>4</v>
      </c>
      <c r="D25" s="1">
        <v>4</v>
      </c>
      <c r="E25" s="1">
        <v>3</v>
      </c>
      <c r="F25" s="1">
        <v>4</v>
      </c>
      <c r="G25" s="1">
        <v>3</v>
      </c>
      <c r="H25" s="1">
        <v>4</v>
      </c>
      <c r="I25" s="1">
        <v>4</v>
      </c>
      <c r="J25" s="1">
        <v>4</v>
      </c>
      <c r="K25" s="1">
        <v>4</v>
      </c>
      <c r="L25" s="1">
        <v>4</v>
      </c>
      <c r="M25" s="1">
        <v>4</v>
      </c>
      <c r="N25" s="1">
        <v>2</v>
      </c>
      <c r="O25" s="3">
        <v>46210.636805555558</v>
      </c>
      <c r="P25" s="3">
        <v>46210.640972222223</v>
      </c>
      <c r="Q25" s="1">
        <v>4</v>
      </c>
      <c r="R25" s="1">
        <v>2</v>
      </c>
      <c r="S25" s="1">
        <v>1</v>
      </c>
      <c r="T25" s="1">
        <v>1</v>
      </c>
      <c r="U25" s="1">
        <v>1</v>
      </c>
      <c r="V25" s="1">
        <v>1</v>
      </c>
    </row>
    <row r="26" spans="1:22" ht="22.05" customHeight="1" x14ac:dyDescent="0.3">
      <c r="A26" s="1" t="s">
        <v>87</v>
      </c>
      <c r="B26" s="1">
        <v>6</v>
      </c>
      <c r="C26" s="1">
        <v>4</v>
      </c>
      <c r="D26" s="1">
        <v>3</v>
      </c>
      <c r="E26" s="1">
        <v>2</v>
      </c>
      <c r="F26" s="1">
        <v>3</v>
      </c>
      <c r="G26" s="1">
        <v>2</v>
      </c>
      <c r="H26" s="1">
        <v>3</v>
      </c>
      <c r="I26" s="1">
        <v>2</v>
      </c>
      <c r="J26" s="1">
        <v>2</v>
      </c>
      <c r="K26" s="1">
        <v>3</v>
      </c>
      <c r="L26" s="1">
        <v>3</v>
      </c>
      <c r="M26" s="1">
        <v>3</v>
      </c>
      <c r="N26" s="1">
        <v>4</v>
      </c>
      <c r="O26" s="3">
        <v>46231.629861111112</v>
      </c>
      <c r="P26" s="3">
        <v>46231.638888888891</v>
      </c>
      <c r="Q26" s="1">
        <v>4</v>
      </c>
      <c r="R26" s="1">
        <v>3</v>
      </c>
      <c r="S26" s="1">
        <v>3</v>
      </c>
      <c r="T26" s="1">
        <v>0</v>
      </c>
      <c r="U26" s="1">
        <v>1</v>
      </c>
      <c r="V26" s="1">
        <v>1</v>
      </c>
    </row>
    <row r="27" spans="1:22" ht="22.05" customHeight="1" x14ac:dyDescent="0.3">
      <c r="A27" s="1" t="s">
        <v>88</v>
      </c>
      <c r="B27" s="1">
        <v>2</v>
      </c>
      <c r="C27" s="1">
        <v>2</v>
      </c>
      <c r="D27" s="1">
        <v>3</v>
      </c>
      <c r="E27" s="1">
        <v>1</v>
      </c>
      <c r="F27" s="1">
        <v>2</v>
      </c>
      <c r="G27" s="1">
        <v>3</v>
      </c>
      <c r="H27" s="1">
        <v>1</v>
      </c>
      <c r="I27" s="1">
        <v>1</v>
      </c>
      <c r="J27" s="1">
        <v>3</v>
      </c>
      <c r="K27" s="1">
        <v>1</v>
      </c>
      <c r="L27" s="1">
        <v>1</v>
      </c>
      <c r="M27" s="1">
        <v>2</v>
      </c>
      <c r="N27" s="1">
        <v>6</v>
      </c>
      <c r="O27" s="3">
        <v>46210.529166666667</v>
      </c>
      <c r="P27" s="3">
        <v>46210.538888888892</v>
      </c>
      <c r="Q27" s="1">
        <v>7</v>
      </c>
      <c r="R27" s="1">
        <v>3</v>
      </c>
      <c r="S27" s="1">
        <v>3</v>
      </c>
      <c r="T27" s="1">
        <v>1</v>
      </c>
      <c r="U27" s="1">
        <v>0</v>
      </c>
      <c r="V27" s="1">
        <v>1</v>
      </c>
    </row>
    <row r="28" spans="1:22" ht="22.05" customHeight="1" x14ac:dyDescent="0.3">
      <c r="A28" s="1" t="s">
        <v>89</v>
      </c>
      <c r="B28" s="1">
        <v>8</v>
      </c>
      <c r="C28" s="1">
        <v>4</v>
      </c>
      <c r="D28" s="1">
        <v>3</v>
      </c>
      <c r="E28" s="1">
        <v>3</v>
      </c>
      <c r="F28" s="1">
        <v>4</v>
      </c>
      <c r="G28" s="1">
        <v>4</v>
      </c>
      <c r="H28" s="1">
        <v>4</v>
      </c>
      <c r="I28" s="1">
        <v>4</v>
      </c>
      <c r="J28" s="1">
        <v>3</v>
      </c>
      <c r="K28" s="1">
        <v>3</v>
      </c>
      <c r="L28" s="1">
        <v>3</v>
      </c>
      <c r="M28" s="1">
        <v>2</v>
      </c>
      <c r="N28" s="1">
        <v>3</v>
      </c>
      <c r="O28" s="3">
        <v>46230.748611111107</v>
      </c>
      <c r="P28" s="3">
        <v>46230.754166666673</v>
      </c>
      <c r="Q28" s="1">
        <v>5</v>
      </c>
      <c r="R28" s="1">
        <v>0</v>
      </c>
      <c r="S28" s="1">
        <v>7</v>
      </c>
      <c r="T28" s="1">
        <v>1</v>
      </c>
      <c r="U28" s="1">
        <v>1</v>
      </c>
      <c r="V28" s="1">
        <v>1</v>
      </c>
    </row>
    <row r="29" spans="1:22" ht="22.05" customHeight="1" x14ac:dyDescent="0.3">
      <c r="A29" s="1" t="s">
        <v>90</v>
      </c>
      <c r="B29" s="1">
        <v>10</v>
      </c>
      <c r="C29" s="1">
        <v>5</v>
      </c>
      <c r="D29" s="1">
        <v>3</v>
      </c>
      <c r="E29" s="1">
        <v>5</v>
      </c>
      <c r="F29" s="1">
        <v>3</v>
      </c>
      <c r="G29" s="1">
        <v>3</v>
      </c>
      <c r="H29" s="1">
        <v>3</v>
      </c>
      <c r="I29" s="1">
        <v>4</v>
      </c>
      <c r="J29" s="1">
        <v>4</v>
      </c>
      <c r="K29" s="1">
        <v>2</v>
      </c>
      <c r="L29" s="1">
        <v>3</v>
      </c>
      <c r="M29" s="1">
        <v>4</v>
      </c>
      <c r="N29" s="1">
        <v>4</v>
      </c>
      <c r="O29" s="3">
        <v>46222.611111111109</v>
      </c>
      <c r="P29" s="3">
        <v>46222.616666666669</v>
      </c>
      <c r="Q29" s="1">
        <v>6</v>
      </c>
      <c r="R29" s="1">
        <v>2</v>
      </c>
      <c r="S29" s="1">
        <v>1</v>
      </c>
      <c r="T29" s="1">
        <v>1</v>
      </c>
      <c r="U29" s="1">
        <v>1</v>
      </c>
      <c r="V29" s="1">
        <v>1</v>
      </c>
    </row>
    <row r="30" spans="1:22" ht="22.05" customHeight="1" x14ac:dyDescent="0.3">
      <c r="A30" s="1" t="s">
        <v>91</v>
      </c>
      <c r="B30" s="1">
        <v>7</v>
      </c>
      <c r="C30" s="1">
        <v>4</v>
      </c>
      <c r="D30" s="1">
        <v>4</v>
      </c>
      <c r="E30" s="1">
        <v>4</v>
      </c>
      <c r="F30" s="1">
        <v>4</v>
      </c>
      <c r="G30" s="1">
        <v>2</v>
      </c>
      <c r="H30" s="1">
        <v>5</v>
      </c>
      <c r="I30" s="1">
        <v>3</v>
      </c>
      <c r="J30" s="1">
        <v>3</v>
      </c>
      <c r="K30" s="1">
        <v>3</v>
      </c>
      <c r="L30" s="1">
        <v>2</v>
      </c>
      <c r="M30" s="1">
        <v>3</v>
      </c>
      <c r="N30" s="1">
        <v>4</v>
      </c>
      <c r="O30" s="3">
        <v>46219.769444444442</v>
      </c>
      <c r="P30" s="3">
        <v>46219.775694444441</v>
      </c>
      <c r="Q30" s="1">
        <v>4</v>
      </c>
      <c r="R30" s="1">
        <v>0</v>
      </c>
      <c r="S30" s="1">
        <v>11</v>
      </c>
      <c r="T30" s="1">
        <v>1</v>
      </c>
      <c r="U30" s="1">
        <v>1</v>
      </c>
      <c r="V30" s="1">
        <v>1</v>
      </c>
    </row>
    <row r="31" spans="1:22" ht="22.05" customHeight="1" x14ac:dyDescent="0.3">
      <c r="A31" s="1" t="s">
        <v>92</v>
      </c>
      <c r="B31" s="1">
        <v>9</v>
      </c>
      <c r="C31" s="1">
        <v>5</v>
      </c>
      <c r="D31" s="1">
        <v>5</v>
      </c>
      <c r="E31" s="1">
        <v>5</v>
      </c>
      <c r="F31" s="1">
        <v>4</v>
      </c>
      <c r="G31" s="1">
        <v>5</v>
      </c>
      <c r="H31" s="1">
        <v>5</v>
      </c>
      <c r="I31" s="1">
        <v>3</v>
      </c>
      <c r="J31" s="1">
        <v>5</v>
      </c>
      <c r="K31" s="1">
        <v>4</v>
      </c>
      <c r="L31" s="1">
        <v>4</v>
      </c>
      <c r="M31" s="1">
        <v>5</v>
      </c>
      <c r="N31" s="1">
        <v>4</v>
      </c>
      <c r="O31" s="3">
        <v>46211.649305555547</v>
      </c>
      <c r="P31" s="3">
        <v>46211.650694444441</v>
      </c>
      <c r="Q31" s="1">
        <v>4</v>
      </c>
      <c r="R31" s="1">
        <v>1</v>
      </c>
      <c r="S31" s="1">
        <v>11</v>
      </c>
      <c r="T31" s="1">
        <v>1</v>
      </c>
      <c r="U31" s="1">
        <v>1</v>
      </c>
      <c r="V31" s="1">
        <v>1</v>
      </c>
    </row>
    <row r="32" spans="1:22" ht="22.05" customHeight="1" x14ac:dyDescent="0.3">
      <c r="A32" s="1" t="s">
        <v>93</v>
      </c>
      <c r="B32" s="1">
        <v>7</v>
      </c>
      <c r="C32" s="1">
        <v>5</v>
      </c>
      <c r="D32" s="1">
        <v>4</v>
      </c>
      <c r="E32" s="1">
        <v>3</v>
      </c>
      <c r="F32" s="1">
        <v>3</v>
      </c>
      <c r="G32" s="1">
        <v>2</v>
      </c>
      <c r="H32" s="1">
        <v>3</v>
      </c>
      <c r="I32" s="1">
        <v>4</v>
      </c>
      <c r="J32" s="1">
        <v>3</v>
      </c>
      <c r="K32" s="1">
        <v>4</v>
      </c>
      <c r="L32" s="1">
        <v>2</v>
      </c>
      <c r="M32" s="1">
        <v>4</v>
      </c>
      <c r="N32" s="1">
        <v>4</v>
      </c>
      <c r="O32" s="3">
        <v>46231.488888888889</v>
      </c>
      <c r="P32" s="3">
        <v>46231.495138888888</v>
      </c>
      <c r="Q32" s="1">
        <v>6</v>
      </c>
      <c r="R32" s="1">
        <v>0</v>
      </c>
      <c r="S32" s="1">
        <v>10</v>
      </c>
      <c r="T32" s="1">
        <v>1</v>
      </c>
      <c r="U32" s="1">
        <v>1</v>
      </c>
      <c r="V32" s="1">
        <v>0</v>
      </c>
    </row>
    <row r="33" spans="1:22" ht="22.05" customHeight="1" x14ac:dyDescent="0.3">
      <c r="A33" s="1" t="s">
        <v>94</v>
      </c>
      <c r="B33" s="1">
        <v>9</v>
      </c>
      <c r="C33" s="1">
        <v>5</v>
      </c>
      <c r="D33" s="1">
        <v>3</v>
      </c>
      <c r="E33" s="1">
        <v>3</v>
      </c>
      <c r="F33" s="1">
        <v>3</v>
      </c>
      <c r="G33" s="1">
        <v>3</v>
      </c>
      <c r="H33" s="1">
        <v>3</v>
      </c>
      <c r="I33" s="1">
        <v>4</v>
      </c>
      <c r="J33" s="1">
        <v>4</v>
      </c>
      <c r="K33" s="1">
        <v>3</v>
      </c>
      <c r="L33" s="1">
        <v>3</v>
      </c>
      <c r="M33" s="1">
        <v>3</v>
      </c>
      <c r="N33" s="1">
        <v>4</v>
      </c>
      <c r="O33" s="3">
        <v>46223.611805555563</v>
      </c>
      <c r="P33" s="3">
        <v>46223.616666666669</v>
      </c>
      <c r="Q33" s="1">
        <v>6</v>
      </c>
      <c r="R33" s="1">
        <v>0</v>
      </c>
      <c r="S33" s="1">
        <v>7</v>
      </c>
      <c r="T33" s="1">
        <v>1</v>
      </c>
      <c r="U33" s="1">
        <v>1</v>
      </c>
      <c r="V33" s="1">
        <v>1</v>
      </c>
    </row>
    <row r="34" spans="1:22" ht="22.05" customHeight="1" x14ac:dyDescent="0.3">
      <c r="A34" s="1" t="s">
        <v>95</v>
      </c>
      <c r="B34" s="1">
        <v>8</v>
      </c>
      <c r="C34" s="1">
        <v>4</v>
      </c>
      <c r="D34" s="1">
        <v>5</v>
      </c>
      <c r="E34" s="1">
        <v>4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3</v>
      </c>
      <c r="O34" s="3">
        <v>46217.427083333343</v>
      </c>
      <c r="P34" s="3">
        <v>46217.428472222222</v>
      </c>
      <c r="Q34" s="1">
        <v>4</v>
      </c>
      <c r="R34" s="1">
        <v>2</v>
      </c>
      <c r="S34" s="1">
        <v>6</v>
      </c>
      <c r="T34" s="1">
        <v>0</v>
      </c>
      <c r="U34" s="1">
        <v>1</v>
      </c>
      <c r="V34" s="1">
        <v>1</v>
      </c>
    </row>
    <row r="35" spans="1:22" ht="22.05" customHeight="1" x14ac:dyDescent="0.3">
      <c r="A35" s="1" t="s">
        <v>96</v>
      </c>
      <c r="B35" s="1">
        <v>6</v>
      </c>
      <c r="C35" s="1">
        <v>4</v>
      </c>
      <c r="D35" s="1">
        <v>3</v>
      </c>
      <c r="E35" s="1">
        <v>4</v>
      </c>
      <c r="F35" s="1">
        <v>2</v>
      </c>
      <c r="G35" s="1">
        <v>3</v>
      </c>
      <c r="H35" s="1">
        <v>3</v>
      </c>
      <c r="I35" s="1">
        <v>2</v>
      </c>
      <c r="J35" s="1">
        <v>4</v>
      </c>
      <c r="K35" s="1">
        <v>2</v>
      </c>
      <c r="L35" s="1">
        <v>2</v>
      </c>
      <c r="M35" s="1">
        <v>3</v>
      </c>
      <c r="N35" s="1">
        <v>6</v>
      </c>
      <c r="O35" s="3">
        <v>46210.620833333327</v>
      </c>
      <c r="P35" s="3">
        <v>46210.632638888892</v>
      </c>
      <c r="Q35" s="1">
        <v>4</v>
      </c>
      <c r="R35" s="1">
        <v>0</v>
      </c>
      <c r="S35" s="1">
        <v>5</v>
      </c>
      <c r="T35" s="1">
        <v>0</v>
      </c>
      <c r="U35" s="1">
        <v>1</v>
      </c>
      <c r="V35" s="1">
        <v>1</v>
      </c>
    </row>
    <row r="36" spans="1:22" ht="22.05" customHeight="1" x14ac:dyDescent="0.3">
      <c r="A36" s="1" t="s">
        <v>97</v>
      </c>
      <c r="B36" s="1">
        <v>4</v>
      </c>
      <c r="C36" s="1">
        <v>3</v>
      </c>
      <c r="D36" s="1">
        <v>2</v>
      </c>
      <c r="E36" s="1">
        <v>2</v>
      </c>
      <c r="F36" s="1">
        <v>3</v>
      </c>
      <c r="G36" s="1">
        <v>2</v>
      </c>
      <c r="H36" s="1">
        <v>2</v>
      </c>
      <c r="I36" s="1">
        <v>1</v>
      </c>
      <c r="J36" s="1">
        <v>2</v>
      </c>
      <c r="K36" s="1">
        <v>3</v>
      </c>
      <c r="L36" s="1">
        <v>2</v>
      </c>
      <c r="M36" s="1">
        <v>2</v>
      </c>
      <c r="N36" s="1">
        <v>5</v>
      </c>
      <c r="O36" s="3">
        <v>46227.779861111107</v>
      </c>
      <c r="P36" s="3">
        <v>46227.790972222218</v>
      </c>
      <c r="Q36" s="1">
        <v>4</v>
      </c>
      <c r="R36" s="1">
        <v>1</v>
      </c>
      <c r="S36" s="1">
        <v>1</v>
      </c>
      <c r="T36" s="1">
        <v>1</v>
      </c>
      <c r="U36" s="1">
        <v>1</v>
      </c>
      <c r="V36" s="1">
        <v>0</v>
      </c>
    </row>
    <row r="37" spans="1:22" ht="22.05" customHeight="1" x14ac:dyDescent="0.3">
      <c r="A37" s="1" t="s">
        <v>98</v>
      </c>
      <c r="B37" s="1">
        <v>6</v>
      </c>
      <c r="C37" s="1">
        <v>3</v>
      </c>
      <c r="D37" s="1">
        <v>2</v>
      </c>
      <c r="E37" s="1">
        <v>1</v>
      </c>
      <c r="F37" s="1">
        <v>2</v>
      </c>
      <c r="G37" s="1">
        <v>3</v>
      </c>
      <c r="H37" s="1">
        <v>2</v>
      </c>
      <c r="I37" s="1">
        <v>3</v>
      </c>
      <c r="J37" s="1">
        <v>2</v>
      </c>
      <c r="K37" s="1">
        <v>3</v>
      </c>
      <c r="L37" s="1">
        <v>2</v>
      </c>
      <c r="M37" s="1">
        <v>2</v>
      </c>
      <c r="N37" s="1">
        <v>2</v>
      </c>
      <c r="O37" s="3">
        <v>46206.45</v>
      </c>
      <c r="P37" s="3">
        <v>46206.459027777782</v>
      </c>
      <c r="Q37" s="1">
        <v>8</v>
      </c>
      <c r="R37" s="1">
        <v>1</v>
      </c>
      <c r="S37" s="1">
        <v>3</v>
      </c>
      <c r="T37" s="1">
        <v>1</v>
      </c>
      <c r="U37" s="1">
        <v>0</v>
      </c>
      <c r="V37" s="1">
        <v>1</v>
      </c>
    </row>
    <row r="38" spans="1:22" ht="22.05" customHeight="1" x14ac:dyDescent="0.3">
      <c r="A38" s="1" t="s">
        <v>99</v>
      </c>
      <c r="B38" s="1">
        <v>3</v>
      </c>
      <c r="C38" s="1">
        <v>3</v>
      </c>
      <c r="D38" s="1">
        <v>2</v>
      </c>
      <c r="E38" s="1">
        <v>2</v>
      </c>
      <c r="F38" s="1">
        <v>3</v>
      </c>
      <c r="G38" s="1">
        <v>2</v>
      </c>
      <c r="H38" s="1">
        <v>2</v>
      </c>
      <c r="I38" s="1">
        <v>2</v>
      </c>
      <c r="J38" s="1">
        <v>3</v>
      </c>
      <c r="K38" s="1">
        <v>3</v>
      </c>
      <c r="L38" s="1">
        <v>3</v>
      </c>
      <c r="M38" s="1">
        <v>2</v>
      </c>
      <c r="N38" s="1">
        <v>5</v>
      </c>
      <c r="O38" s="3">
        <v>46217.380555555559</v>
      </c>
      <c r="P38" s="3">
        <v>46217.390972222223</v>
      </c>
      <c r="Q38" s="1">
        <v>6</v>
      </c>
      <c r="R38" s="1">
        <v>2</v>
      </c>
      <c r="S38" s="1">
        <v>6</v>
      </c>
      <c r="T38" s="1">
        <v>1</v>
      </c>
      <c r="U38" s="1">
        <v>0</v>
      </c>
      <c r="V38" s="1">
        <v>0</v>
      </c>
    </row>
    <row r="39" spans="1:22" ht="22.05" customHeight="1" x14ac:dyDescent="0.3">
      <c r="A39" s="1" t="s">
        <v>100</v>
      </c>
      <c r="B39" s="1">
        <v>8</v>
      </c>
      <c r="C39" s="1">
        <v>3</v>
      </c>
      <c r="D39" s="1">
        <v>2</v>
      </c>
      <c r="E39" s="1">
        <v>3</v>
      </c>
      <c r="F39" s="1">
        <v>3</v>
      </c>
      <c r="G39" s="1">
        <v>3</v>
      </c>
      <c r="H39" s="1">
        <v>2</v>
      </c>
      <c r="I39" s="1">
        <v>2</v>
      </c>
      <c r="J39" s="1">
        <v>3</v>
      </c>
      <c r="K39" s="1">
        <v>2</v>
      </c>
      <c r="L39" s="1">
        <v>4</v>
      </c>
      <c r="M39" s="1">
        <v>2</v>
      </c>
      <c r="N39" s="1">
        <v>5</v>
      </c>
      <c r="O39" s="3">
        <v>46224.543749999997</v>
      </c>
      <c r="P39" s="3">
        <v>46224.554861111108</v>
      </c>
      <c r="Q39" s="1">
        <v>4</v>
      </c>
      <c r="R39" s="1">
        <v>1</v>
      </c>
      <c r="S39" s="1">
        <v>6</v>
      </c>
      <c r="T39" s="1">
        <v>1</v>
      </c>
      <c r="U39" s="1">
        <v>1</v>
      </c>
      <c r="V39" s="1">
        <v>1</v>
      </c>
    </row>
    <row r="40" spans="1:22" ht="22.05" customHeight="1" x14ac:dyDescent="0.3">
      <c r="A40" s="1" t="s">
        <v>101</v>
      </c>
      <c r="B40" s="1">
        <v>7</v>
      </c>
      <c r="C40" s="1">
        <v>4</v>
      </c>
      <c r="D40" s="1">
        <v>4</v>
      </c>
      <c r="E40" s="1">
        <v>4</v>
      </c>
      <c r="F40" s="1">
        <v>3</v>
      </c>
      <c r="G40" s="1">
        <v>4</v>
      </c>
      <c r="H40" s="1">
        <v>4</v>
      </c>
      <c r="I40" s="1">
        <v>3</v>
      </c>
      <c r="J40" s="1">
        <v>4</v>
      </c>
      <c r="K40" s="1">
        <v>4</v>
      </c>
      <c r="L40" s="1">
        <v>5</v>
      </c>
      <c r="M40" s="1">
        <v>3</v>
      </c>
      <c r="N40" s="1">
        <v>4</v>
      </c>
      <c r="O40" s="3">
        <v>46208.44027777778</v>
      </c>
      <c r="P40" s="3">
        <v>46208.445833333331</v>
      </c>
      <c r="Q40" s="1">
        <v>5</v>
      </c>
      <c r="R40" s="1">
        <v>3</v>
      </c>
      <c r="S40" s="1">
        <v>6</v>
      </c>
      <c r="T40" s="1">
        <v>1</v>
      </c>
      <c r="U40" s="1">
        <v>1</v>
      </c>
      <c r="V40" s="1">
        <v>1</v>
      </c>
    </row>
    <row r="41" spans="1:22" ht="22.05" customHeight="1" x14ac:dyDescent="0.3">
      <c r="A41" s="1" t="s">
        <v>102</v>
      </c>
      <c r="B41" s="1">
        <v>8</v>
      </c>
      <c r="C41" s="1">
        <v>3</v>
      </c>
      <c r="D41" s="1">
        <v>3</v>
      </c>
      <c r="E41" s="1">
        <v>4</v>
      </c>
      <c r="F41" s="1">
        <v>4</v>
      </c>
      <c r="G41" s="1">
        <v>4</v>
      </c>
      <c r="H41" s="1">
        <v>4</v>
      </c>
      <c r="I41" s="1">
        <v>4</v>
      </c>
      <c r="J41" s="1">
        <v>2</v>
      </c>
      <c r="K41" s="1">
        <v>3</v>
      </c>
      <c r="L41" s="1">
        <v>3</v>
      </c>
      <c r="M41" s="1">
        <v>4</v>
      </c>
      <c r="N41" s="1">
        <v>3</v>
      </c>
      <c r="O41" s="3">
        <v>46219.602083333331</v>
      </c>
      <c r="P41" s="3">
        <v>46219.606944444437</v>
      </c>
      <c r="Q41" s="1">
        <v>3</v>
      </c>
      <c r="R41" s="1">
        <v>2</v>
      </c>
      <c r="S41" s="1">
        <v>5</v>
      </c>
      <c r="T41" s="1">
        <v>1</v>
      </c>
      <c r="U41" s="1">
        <v>1</v>
      </c>
      <c r="V41" s="1">
        <v>1</v>
      </c>
    </row>
    <row r="42" spans="1:22" ht="22.05" customHeight="1" x14ac:dyDescent="0.3">
      <c r="A42" s="1" t="s">
        <v>103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7</v>
      </c>
      <c r="O42" s="3">
        <v>46218.476388888892</v>
      </c>
      <c r="P42" s="3">
        <v>46218.486805555563</v>
      </c>
      <c r="Q42" s="1">
        <v>8</v>
      </c>
      <c r="R42" s="1">
        <v>6</v>
      </c>
      <c r="S42" s="1">
        <v>1</v>
      </c>
      <c r="T42" s="1">
        <v>1</v>
      </c>
      <c r="U42" s="1">
        <v>0</v>
      </c>
      <c r="V42" s="1">
        <v>0</v>
      </c>
    </row>
    <row r="43" spans="1:22" ht="22.05" customHeight="1" x14ac:dyDescent="0.3">
      <c r="A43" s="1" t="s">
        <v>104</v>
      </c>
      <c r="B43" s="1">
        <v>5</v>
      </c>
      <c r="C43" s="1">
        <v>3</v>
      </c>
      <c r="D43" s="1">
        <v>3</v>
      </c>
      <c r="E43" s="1">
        <v>3</v>
      </c>
      <c r="F43" s="1">
        <v>3</v>
      </c>
      <c r="G43" s="1">
        <v>2</v>
      </c>
      <c r="H43" s="1">
        <v>2</v>
      </c>
      <c r="I43" s="1">
        <v>4</v>
      </c>
      <c r="J43" s="1">
        <v>2</v>
      </c>
      <c r="K43" s="1">
        <v>4</v>
      </c>
      <c r="L43" s="1">
        <v>3</v>
      </c>
      <c r="M43" s="1">
        <v>2</v>
      </c>
      <c r="N43" s="1">
        <v>3</v>
      </c>
      <c r="O43" s="3">
        <v>46210.445833333331</v>
      </c>
      <c r="P43" s="3">
        <v>46210.455555555563</v>
      </c>
      <c r="Q43" s="1">
        <v>2</v>
      </c>
      <c r="R43" s="1">
        <v>0</v>
      </c>
      <c r="S43" s="1">
        <v>6</v>
      </c>
      <c r="T43" s="1">
        <v>1</v>
      </c>
      <c r="U43" s="1">
        <v>1</v>
      </c>
      <c r="V43" s="1">
        <v>1</v>
      </c>
    </row>
    <row r="44" spans="1:22" ht="22.05" customHeight="1" x14ac:dyDescent="0.3">
      <c r="A44" s="1" t="s">
        <v>105</v>
      </c>
      <c r="B44" s="1">
        <v>6</v>
      </c>
      <c r="C44" s="1">
        <v>3</v>
      </c>
      <c r="D44" s="1">
        <v>2</v>
      </c>
      <c r="E44" s="1">
        <v>2</v>
      </c>
      <c r="F44" s="1">
        <v>2</v>
      </c>
      <c r="G44" s="1">
        <v>2</v>
      </c>
      <c r="H44" s="1">
        <v>2</v>
      </c>
      <c r="I44" s="1">
        <v>2</v>
      </c>
      <c r="J44" s="1">
        <v>2</v>
      </c>
      <c r="K44" s="1">
        <v>3</v>
      </c>
      <c r="L44" s="1">
        <v>3</v>
      </c>
      <c r="M44" s="1">
        <v>2</v>
      </c>
      <c r="N44" s="1">
        <v>4</v>
      </c>
      <c r="O44" s="3">
        <v>46209.441666666673</v>
      </c>
      <c r="P44" s="3">
        <v>46209.45</v>
      </c>
      <c r="Q44" s="1">
        <v>5</v>
      </c>
      <c r="R44" s="1">
        <v>1</v>
      </c>
      <c r="S44" s="1">
        <v>2</v>
      </c>
      <c r="T44" s="1">
        <v>1</v>
      </c>
      <c r="U44" s="1">
        <v>1</v>
      </c>
      <c r="V44" s="1">
        <v>0</v>
      </c>
    </row>
    <row r="45" spans="1:22" ht="22.05" customHeight="1" x14ac:dyDescent="0.3">
      <c r="A45" s="1" t="s">
        <v>106</v>
      </c>
      <c r="B45" s="1">
        <v>5</v>
      </c>
      <c r="C45" s="1">
        <v>3</v>
      </c>
      <c r="D45" s="1">
        <v>4</v>
      </c>
      <c r="E45" s="1">
        <v>4</v>
      </c>
      <c r="F45" s="1">
        <v>3</v>
      </c>
      <c r="G45" s="1">
        <v>3</v>
      </c>
      <c r="H45" s="1">
        <v>4</v>
      </c>
      <c r="I45" s="1">
        <v>3</v>
      </c>
      <c r="J45" s="1">
        <v>3</v>
      </c>
      <c r="K45" s="1">
        <v>3</v>
      </c>
      <c r="L45" s="1">
        <v>4</v>
      </c>
      <c r="M45" s="1">
        <v>3</v>
      </c>
      <c r="N45" s="1">
        <v>4</v>
      </c>
      <c r="O45" s="3">
        <v>46225.775694444441</v>
      </c>
      <c r="P45" s="3">
        <v>46225.782638888893</v>
      </c>
      <c r="Q45" s="1">
        <v>2</v>
      </c>
      <c r="R45" s="1">
        <v>1</v>
      </c>
      <c r="S45" s="1">
        <v>7</v>
      </c>
      <c r="T45" s="1">
        <v>1</v>
      </c>
      <c r="U45" s="1">
        <v>1</v>
      </c>
      <c r="V45" s="1">
        <v>1</v>
      </c>
    </row>
    <row r="46" spans="1:22" ht="22.05" customHeight="1" x14ac:dyDescent="0.3">
      <c r="A46" s="1" t="s">
        <v>107</v>
      </c>
      <c r="B46" s="1">
        <v>8</v>
      </c>
      <c r="C46" s="1">
        <v>4</v>
      </c>
      <c r="D46" s="1">
        <v>4</v>
      </c>
      <c r="E46" s="1">
        <v>3</v>
      </c>
      <c r="F46" s="1">
        <v>4</v>
      </c>
      <c r="G46" s="1">
        <v>4</v>
      </c>
      <c r="H46" s="1">
        <v>3</v>
      </c>
      <c r="I46" s="1">
        <v>3</v>
      </c>
      <c r="J46" s="1">
        <v>4</v>
      </c>
      <c r="K46" s="1">
        <v>2</v>
      </c>
      <c r="L46" s="1">
        <v>4</v>
      </c>
      <c r="M46" s="1">
        <v>4</v>
      </c>
      <c r="N46" s="1">
        <v>4</v>
      </c>
      <c r="O46" s="3">
        <v>46205.584027777782</v>
      </c>
      <c r="P46" s="3">
        <v>46205.588888888888</v>
      </c>
      <c r="Q46" s="1">
        <v>5</v>
      </c>
      <c r="R46" s="1">
        <v>0</v>
      </c>
      <c r="S46" s="1">
        <v>1</v>
      </c>
      <c r="T46" s="1">
        <v>1</v>
      </c>
      <c r="U46" s="1">
        <v>0</v>
      </c>
      <c r="V46" s="1">
        <v>1</v>
      </c>
    </row>
    <row r="47" spans="1:22" ht="22.05" customHeight="1" x14ac:dyDescent="0.3">
      <c r="A47" s="1" t="s">
        <v>108</v>
      </c>
      <c r="B47" s="1">
        <v>9</v>
      </c>
      <c r="C47" s="1">
        <v>4</v>
      </c>
      <c r="D47" s="1">
        <v>4</v>
      </c>
      <c r="E47" s="1">
        <v>4</v>
      </c>
      <c r="F47" s="1">
        <v>4</v>
      </c>
      <c r="G47" s="1">
        <v>5</v>
      </c>
      <c r="H47" s="1">
        <v>5</v>
      </c>
      <c r="I47" s="1">
        <v>4</v>
      </c>
      <c r="J47" s="1">
        <v>4</v>
      </c>
      <c r="K47" s="1">
        <v>4</v>
      </c>
      <c r="L47" s="1">
        <v>4</v>
      </c>
      <c r="M47" s="1">
        <v>4</v>
      </c>
      <c r="N47" s="1">
        <v>2</v>
      </c>
      <c r="O47" s="3">
        <v>46210.556944444441</v>
      </c>
      <c r="P47" s="3">
        <v>46210.558333333327</v>
      </c>
      <c r="Q47" s="1">
        <v>3</v>
      </c>
      <c r="R47" s="1">
        <v>1</v>
      </c>
      <c r="S47" s="1">
        <v>5</v>
      </c>
      <c r="T47" s="1">
        <v>1</v>
      </c>
      <c r="U47" s="1">
        <v>1</v>
      </c>
      <c r="V47" s="1">
        <v>1</v>
      </c>
    </row>
    <row r="48" spans="1:22" ht="22.05" customHeight="1" x14ac:dyDescent="0.3">
      <c r="A48" s="1" t="s">
        <v>109</v>
      </c>
      <c r="B48" s="1">
        <v>6</v>
      </c>
      <c r="C48" s="1">
        <v>4</v>
      </c>
      <c r="D48" s="1">
        <v>3</v>
      </c>
      <c r="E48" s="1">
        <v>2</v>
      </c>
      <c r="F48" s="1">
        <v>2</v>
      </c>
      <c r="G48" s="1">
        <v>3</v>
      </c>
      <c r="H48" s="1">
        <v>2</v>
      </c>
      <c r="I48" s="1">
        <v>3</v>
      </c>
      <c r="J48" s="1">
        <v>2</v>
      </c>
      <c r="K48" s="1">
        <v>2</v>
      </c>
      <c r="L48" s="1">
        <v>3</v>
      </c>
      <c r="M48" s="1">
        <v>3</v>
      </c>
      <c r="N48" s="1">
        <v>3</v>
      </c>
      <c r="O48" s="3">
        <v>46206.644444444442</v>
      </c>
      <c r="P48" s="3">
        <v>46206.648611111108</v>
      </c>
      <c r="Q48" s="1">
        <v>3</v>
      </c>
      <c r="R48" s="1">
        <v>1</v>
      </c>
      <c r="S48" s="1">
        <v>5</v>
      </c>
      <c r="T48" s="1">
        <v>1</v>
      </c>
      <c r="U48" s="1">
        <v>1</v>
      </c>
      <c r="V48" s="1">
        <v>1</v>
      </c>
    </row>
    <row r="49" spans="1:22" ht="22.05" customHeight="1" x14ac:dyDescent="0.3">
      <c r="A49" s="1" t="s">
        <v>110</v>
      </c>
      <c r="B49" s="1">
        <v>8</v>
      </c>
      <c r="C49" s="1">
        <v>4</v>
      </c>
      <c r="D49" s="1">
        <v>3</v>
      </c>
      <c r="E49" s="1">
        <v>2</v>
      </c>
      <c r="F49" s="1">
        <v>2</v>
      </c>
      <c r="G49" s="1">
        <v>3</v>
      </c>
      <c r="H49" s="1">
        <v>3</v>
      </c>
      <c r="I49" s="1">
        <v>4</v>
      </c>
      <c r="J49" s="1">
        <v>3</v>
      </c>
      <c r="K49" s="1">
        <v>4</v>
      </c>
      <c r="L49" s="1">
        <v>4</v>
      </c>
      <c r="M49" s="1">
        <v>2</v>
      </c>
      <c r="N49" s="1">
        <v>3</v>
      </c>
      <c r="O49" s="3">
        <v>46218.410416666673</v>
      </c>
      <c r="P49" s="3">
        <v>46218.416666666657</v>
      </c>
      <c r="Q49" s="1">
        <v>5</v>
      </c>
      <c r="R49" s="1">
        <v>1</v>
      </c>
      <c r="S49" s="1">
        <v>5</v>
      </c>
      <c r="T49" s="1">
        <v>1</v>
      </c>
      <c r="U49" s="1">
        <v>1</v>
      </c>
      <c r="V49" s="1">
        <v>1</v>
      </c>
    </row>
    <row r="50" spans="1:22" ht="22.05" customHeight="1" x14ac:dyDescent="0.3">
      <c r="A50" s="1" t="s">
        <v>111</v>
      </c>
      <c r="B50" s="1">
        <v>7</v>
      </c>
      <c r="C50" s="1">
        <v>3</v>
      </c>
      <c r="D50" s="1">
        <v>2</v>
      </c>
      <c r="E50" s="1">
        <v>2</v>
      </c>
      <c r="F50" s="1">
        <v>3</v>
      </c>
      <c r="G50" s="1">
        <v>3</v>
      </c>
      <c r="H50" s="1">
        <v>4</v>
      </c>
      <c r="I50" s="1">
        <v>3</v>
      </c>
      <c r="J50" s="1">
        <v>3</v>
      </c>
      <c r="K50" s="1">
        <v>4</v>
      </c>
      <c r="L50" s="1">
        <v>2</v>
      </c>
      <c r="M50" s="1">
        <v>2</v>
      </c>
      <c r="N50" s="1">
        <v>5</v>
      </c>
      <c r="O50" s="3">
        <v>46231.431250000001</v>
      </c>
      <c r="P50" s="3">
        <v>46231.441666666673</v>
      </c>
      <c r="Q50" s="1">
        <v>6</v>
      </c>
      <c r="R50" s="1">
        <v>1</v>
      </c>
      <c r="S50" s="1">
        <v>7</v>
      </c>
      <c r="T50" s="1">
        <v>1</v>
      </c>
      <c r="U50" s="1">
        <v>1</v>
      </c>
      <c r="V50" s="1">
        <v>1</v>
      </c>
    </row>
    <row r="51" spans="1:22" ht="22.05" customHeight="1" x14ac:dyDescent="0.3">
      <c r="A51" s="1" t="s">
        <v>112</v>
      </c>
      <c r="B51" s="1">
        <v>8</v>
      </c>
      <c r="C51" s="1">
        <v>3</v>
      </c>
      <c r="D51" s="1">
        <v>4</v>
      </c>
      <c r="E51" s="1">
        <v>4</v>
      </c>
      <c r="F51" s="1">
        <v>4</v>
      </c>
      <c r="G51" s="1">
        <v>4</v>
      </c>
      <c r="H51" s="1">
        <v>4</v>
      </c>
      <c r="I51" s="1">
        <v>3</v>
      </c>
      <c r="J51" s="1">
        <v>5</v>
      </c>
      <c r="K51" s="1">
        <v>3</v>
      </c>
      <c r="L51" s="1">
        <v>5</v>
      </c>
      <c r="M51" s="1">
        <v>5</v>
      </c>
      <c r="N51" s="1">
        <v>5</v>
      </c>
      <c r="O51" s="3">
        <v>46208.387499999997</v>
      </c>
      <c r="P51" s="3">
        <v>46208.402083333327</v>
      </c>
      <c r="Q51" s="1">
        <v>4</v>
      </c>
      <c r="R51" s="1">
        <v>1</v>
      </c>
      <c r="S51" s="1">
        <v>6</v>
      </c>
      <c r="T51" s="1">
        <v>1</v>
      </c>
      <c r="U51" s="1">
        <v>1</v>
      </c>
      <c r="V51" s="1">
        <v>1</v>
      </c>
    </row>
    <row r="52" spans="1:22" ht="22.05" customHeight="1" x14ac:dyDescent="0.3">
      <c r="A52" s="1" t="s">
        <v>113</v>
      </c>
      <c r="B52" s="1">
        <v>7</v>
      </c>
      <c r="C52" s="1">
        <v>4</v>
      </c>
      <c r="D52" s="1">
        <v>3</v>
      </c>
      <c r="E52" s="1">
        <v>3</v>
      </c>
      <c r="F52" s="1">
        <v>2</v>
      </c>
      <c r="G52" s="1">
        <v>3</v>
      </c>
      <c r="H52" s="1">
        <v>3</v>
      </c>
      <c r="I52" s="1">
        <v>2</v>
      </c>
      <c r="J52" s="1">
        <v>2</v>
      </c>
      <c r="K52" s="1">
        <v>3</v>
      </c>
      <c r="L52" s="1">
        <v>3</v>
      </c>
      <c r="M52" s="1">
        <v>2</v>
      </c>
      <c r="N52" s="1">
        <v>3</v>
      </c>
      <c r="O52" s="3">
        <v>46221.47152777778</v>
      </c>
      <c r="P52" s="3">
        <v>46221.482638888891</v>
      </c>
      <c r="Q52" s="1">
        <v>4</v>
      </c>
      <c r="R52" s="1">
        <v>1</v>
      </c>
      <c r="S52" s="1">
        <v>1</v>
      </c>
      <c r="T52" s="1">
        <v>0</v>
      </c>
      <c r="U52" s="1">
        <v>1</v>
      </c>
      <c r="V52" s="1">
        <v>1</v>
      </c>
    </row>
    <row r="53" spans="1:22" ht="22.05" customHeight="1" x14ac:dyDescent="0.3">
      <c r="A53" s="1" t="s">
        <v>114</v>
      </c>
      <c r="B53" s="1">
        <v>10</v>
      </c>
      <c r="C53" s="1">
        <v>5</v>
      </c>
      <c r="D53" s="1">
        <v>4</v>
      </c>
      <c r="E53" s="1">
        <v>5</v>
      </c>
      <c r="F53" s="1">
        <v>5</v>
      </c>
      <c r="G53" s="1">
        <v>3</v>
      </c>
      <c r="H53" s="1">
        <v>5</v>
      </c>
      <c r="I53" s="1">
        <v>4</v>
      </c>
      <c r="J53" s="1">
        <v>4</v>
      </c>
      <c r="K53" s="1">
        <v>5</v>
      </c>
      <c r="L53" s="1">
        <v>5</v>
      </c>
      <c r="M53" s="1">
        <v>5</v>
      </c>
      <c r="N53" s="1">
        <v>1</v>
      </c>
      <c r="O53" s="3">
        <v>46220.453472222223</v>
      </c>
      <c r="P53" s="3">
        <v>46220.457638888889</v>
      </c>
      <c r="Q53" s="1">
        <v>1</v>
      </c>
      <c r="R53" s="1">
        <v>0</v>
      </c>
      <c r="S53" s="1">
        <v>12</v>
      </c>
      <c r="T53" s="1">
        <v>1</v>
      </c>
      <c r="U53" s="1">
        <v>1</v>
      </c>
      <c r="V53" s="1">
        <v>1</v>
      </c>
    </row>
    <row r="54" spans="1:22" ht="22.05" customHeight="1" x14ac:dyDescent="0.3">
      <c r="A54" s="1" t="s">
        <v>115</v>
      </c>
      <c r="B54" s="1">
        <v>10</v>
      </c>
      <c r="C54" s="1">
        <v>5</v>
      </c>
      <c r="D54" s="1">
        <v>4</v>
      </c>
      <c r="E54" s="1">
        <v>4</v>
      </c>
      <c r="F54" s="1">
        <v>5</v>
      </c>
      <c r="G54" s="1">
        <v>3</v>
      </c>
      <c r="H54" s="1">
        <v>3</v>
      </c>
      <c r="I54" s="1">
        <v>3</v>
      </c>
      <c r="J54" s="1">
        <v>4</v>
      </c>
      <c r="K54" s="1">
        <v>4</v>
      </c>
      <c r="L54" s="1">
        <v>4</v>
      </c>
      <c r="M54" s="1">
        <v>3</v>
      </c>
      <c r="N54" s="1">
        <v>5</v>
      </c>
      <c r="O54" s="3">
        <v>46208.644444444442</v>
      </c>
      <c r="P54" s="3">
        <v>46208.645833333343</v>
      </c>
      <c r="Q54" s="1">
        <v>2</v>
      </c>
      <c r="R54" s="1">
        <v>1</v>
      </c>
      <c r="S54" s="1">
        <v>11</v>
      </c>
      <c r="T54" s="1">
        <v>1</v>
      </c>
      <c r="U54" s="1">
        <v>1</v>
      </c>
      <c r="V54" s="1">
        <v>1</v>
      </c>
    </row>
    <row r="55" spans="1:22" ht="22.05" customHeight="1" x14ac:dyDescent="0.3">
      <c r="A55" s="1" t="s">
        <v>116</v>
      </c>
      <c r="B55" s="1">
        <v>10</v>
      </c>
      <c r="C55" s="1">
        <v>5</v>
      </c>
      <c r="D55" s="1">
        <v>5</v>
      </c>
      <c r="E55" s="1">
        <v>4</v>
      </c>
      <c r="F55" s="1">
        <v>4</v>
      </c>
      <c r="G55" s="1">
        <v>5</v>
      </c>
      <c r="H55" s="1">
        <v>4</v>
      </c>
      <c r="I55" s="1">
        <v>4</v>
      </c>
      <c r="J55" s="1">
        <v>4</v>
      </c>
      <c r="K55" s="1">
        <v>4</v>
      </c>
      <c r="L55" s="1">
        <v>4</v>
      </c>
      <c r="M55" s="1">
        <v>5</v>
      </c>
      <c r="N55" s="1">
        <v>2</v>
      </c>
      <c r="O55" s="3">
        <v>46215.48333333333</v>
      </c>
      <c r="P55" s="3">
        <v>46215.48541666667</v>
      </c>
      <c r="Q55" s="1">
        <v>1</v>
      </c>
      <c r="R55" s="1">
        <v>1</v>
      </c>
      <c r="S55" s="1">
        <v>12</v>
      </c>
      <c r="T55" s="1">
        <v>1</v>
      </c>
      <c r="U55" s="1">
        <v>1</v>
      </c>
      <c r="V55" s="1">
        <v>1</v>
      </c>
    </row>
    <row r="56" spans="1:22" ht="22.05" customHeight="1" x14ac:dyDescent="0.3">
      <c r="A56" s="1" t="s">
        <v>117</v>
      </c>
      <c r="B56" s="1">
        <v>2</v>
      </c>
      <c r="C56" s="1">
        <v>1</v>
      </c>
      <c r="D56" s="1">
        <v>1</v>
      </c>
      <c r="E56" s="1">
        <v>1</v>
      </c>
      <c r="F56" s="1">
        <v>2</v>
      </c>
      <c r="G56" s="1">
        <v>1</v>
      </c>
      <c r="H56" s="1">
        <v>2</v>
      </c>
      <c r="I56" s="1">
        <v>1</v>
      </c>
      <c r="J56" s="1">
        <v>1</v>
      </c>
      <c r="K56" s="1">
        <v>2</v>
      </c>
      <c r="L56" s="1">
        <v>1</v>
      </c>
      <c r="M56" s="1">
        <v>1</v>
      </c>
      <c r="N56" s="1">
        <v>6</v>
      </c>
      <c r="O56" s="3">
        <v>46227.547222222223</v>
      </c>
      <c r="P56" s="3">
        <v>46227.5625</v>
      </c>
      <c r="Q56" s="1">
        <v>7</v>
      </c>
      <c r="R56" s="1">
        <v>1</v>
      </c>
      <c r="S56" s="1">
        <v>4</v>
      </c>
      <c r="T56" s="1">
        <v>1</v>
      </c>
      <c r="U56" s="1">
        <v>1</v>
      </c>
      <c r="V56" s="1">
        <v>1</v>
      </c>
    </row>
    <row r="57" spans="1:22" ht="22.05" customHeight="1" x14ac:dyDescent="0.3">
      <c r="A57" s="1" t="s">
        <v>118</v>
      </c>
      <c r="B57" s="1">
        <v>9</v>
      </c>
      <c r="C57" s="1">
        <v>4</v>
      </c>
      <c r="D57" s="1">
        <v>3</v>
      </c>
      <c r="E57" s="1">
        <v>4</v>
      </c>
      <c r="F57" s="1">
        <v>4</v>
      </c>
      <c r="G57" s="1">
        <v>4</v>
      </c>
      <c r="H57" s="1">
        <v>5</v>
      </c>
      <c r="I57" s="1">
        <v>4</v>
      </c>
      <c r="J57" s="1">
        <v>4</v>
      </c>
      <c r="K57" s="1">
        <v>4</v>
      </c>
      <c r="L57" s="1">
        <v>2</v>
      </c>
      <c r="M57" s="1">
        <v>4</v>
      </c>
      <c r="N57" s="1">
        <v>4</v>
      </c>
      <c r="O57" s="3">
        <v>46215.62222222222</v>
      </c>
      <c r="P57" s="3">
        <v>46215.62777777778</v>
      </c>
      <c r="Q57" s="1">
        <v>3</v>
      </c>
      <c r="R57" s="1">
        <v>1</v>
      </c>
      <c r="S57" s="1">
        <v>9</v>
      </c>
      <c r="T57" s="1">
        <v>1</v>
      </c>
      <c r="U57" s="1">
        <v>1</v>
      </c>
      <c r="V57" s="1">
        <v>1</v>
      </c>
    </row>
    <row r="58" spans="1:22" ht="22.05" customHeight="1" x14ac:dyDescent="0.3">
      <c r="A58" s="1" t="s">
        <v>119</v>
      </c>
      <c r="B58" s="1">
        <v>8</v>
      </c>
      <c r="C58" s="1">
        <v>3</v>
      </c>
      <c r="D58" s="1">
        <v>4</v>
      </c>
      <c r="E58" s="1">
        <v>3</v>
      </c>
      <c r="F58" s="1">
        <v>3</v>
      </c>
      <c r="G58" s="1">
        <v>3</v>
      </c>
      <c r="H58" s="1">
        <v>3</v>
      </c>
      <c r="I58" s="1">
        <v>4</v>
      </c>
      <c r="J58" s="1">
        <v>2</v>
      </c>
      <c r="K58" s="1">
        <v>4</v>
      </c>
      <c r="L58" s="1">
        <v>4</v>
      </c>
      <c r="M58" s="1">
        <v>4</v>
      </c>
      <c r="N58" s="1">
        <v>4</v>
      </c>
      <c r="O58" s="3">
        <v>46218.365277777782</v>
      </c>
      <c r="P58" s="3">
        <v>46218.372916666667</v>
      </c>
      <c r="Q58" s="1">
        <v>4</v>
      </c>
      <c r="R58" s="1">
        <v>0</v>
      </c>
      <c r="S58" s="1">
        <v>9</v>
      </c>
      <c r="T58" s="1">
        <v>1</v>
      </c>
      <c r="U58" s="1">
        <v>0</v>
      </c>
      <c r="V58" s="1">
        <v>1</v>
      </c>
    </row>
    <row r="59" spans="1:22" ht="22.05" customHeight="1" x14ac:dyDescent="0.3">
      <c r="A59" s="1" t="s">
        <v>120</v>
      </c>
      <c r="B59" s="1">
        <v>6</v>
      </c>
      <c r="C59" s="1">
        <v>3</v>
      </c>
      <c r="D59" s="1">
        <v>2</v>
      </c>
      <c r="E59" s="1">
        <v>3</v>
      </c>
      <c r="F59" s="1">
        <v>3</v>
      </c>
      <c r="G59" s="1">
        <v>3</v>
      </c>
      <c r="H59" s="1">
        <v>2</v>
      </c>
      <c r="I59" s="1">
        <v>2</v>
      </c>
      <c r="J59" s="1">
        <v>3</v>
      </c>
      <c r="K59" s="1">
        <v>2</v>
      </c>
      <c r="L59" s="1">
        <v>2</v>
      </c>
      <c r="M59" s="1">
        <v>3</v>
      </c>
      <c r="N59" s="1">
        <v>4</v>
      </c>
      <c r="O59" s="3">
        <v>46228.4</v>
      </c>
      <c r="P59" s="3">
        <v>46228.407638888893</v>
      </c>
      <c r="Q59" s="1">
        <v>6</v>
      </c>
      <c r="R59" s="1">
        <v>4</v>
      </c>
      <c r="S59" s="1">
        <v>6</v>
      </c>
      <c r="T59" s="1">
        <v>0</v>
      </c>
      <c r="U59" s="1">
        <v>1</v>
      </c>
      <c r="V59" s="1">
        <v>0</v>
      </c>
    </row>
    <row r="60" spans="1:22" ht="22.05" customHeight="1" x14ac:dyDescent="0.3">
      <c r="A60" s="1" t="s">
        <v>121</v>
      </c>
      <c r="B60" s="1">
        <v>6</v>
      </c>
      <c r="C60" s="1">
        <v>3</v>
      </c>
      <c r="D60" s="1">
        <v>3</v>
      </c>
      <c r="E60" s="1">
        <v>3</v>
      </c>
      <c r="F60" s="1">
        <v>3</v>
      </c>
      <c r="G60" s="1">
        <v>3</v>
      </c>
      <c r="H60" s="1">
        <v>4</v>
      </c>
      <c r="I60" s="1">
        <v>4</v>
      </c>
      <c r="J60" s="1">
        <v>4</v>
      </c>
      <c r="K60" s="1">
        <v>3</v>
      </c>
      <c r="L60" s="1">
        <v>5</v>
      </c>
      <c r="M60" s="1">
        <v>3</v>
      </c>
      <c r="N60" s="1">
        <v>3</v>
      </c>
      <c r="O60" s="3">
        <v>46225.572916666657</v>
      </c>
      <c r="P60" s="3">
        <v>46225.581944444442</v>
      </c>
      <c r="Q60" s="1">
        <v>5</v>
      </c>
      <c r="R60" s="1">
        <v>0</v>
      </c>
      <c r="S60" s="1">
        <v>6</v>
      </c>
      <c r="T60" s="1">
        <v>1</v>
      </c>
      <c r="U60" s="1">
        <v>1</v>
      </c>
      <c r="V60" s="1">
        <v>1</v>
      </c>
    </row>
    <row r="61" spans="1:22" ht="22.05" customHeight="1" x14ac:dyDescent="0.3">
      <c r="A61" s="1" t="s">
        <v>122</v>
      </c>
      <c r="B61" s="1">
        <v>5</v>
      </c>
      <c r="C61" s="1">
        <v>3</v>
      </c>
      <c r="D61" s="1">
        <v>2</v>
      </c>
      <c r="E61" s="1">
        <v>3</v>
      </c>
      <c r="F61" s="1">
        <v>2</v>
      </c>
      <c r="G61" s="1">
        <v>2</v>
      </c>
      <c r="H61" s="1">
        <v>2</v>
      </c>
      <c r="I61" s="1">
        <v>1</v>
      </c>
      <c r="J61" s="1">
        <v>5</v>
      </c>
      <c r="K61" s="1">
        <v>2</v>
      </c>
      <c r="L61" s="1">
        <v>2</v>
      </c>
      <c r="M61" s="1">
        <v>3</v>
      </c>
      <c r="N61" s="1">
        <v>4</v>
      </c>
      <c r="O61" s="3">
        <v>46206.430555555547</v>
      </c>
      <c r="P61" s="3">
        <v>46206.435416666667</v>
      </c>
      <c r="Q61" s="1">
        <v>4</v>
      </c>
      <c r="R61" s="1">
        <v>0</v>
      </c>
      <c r="S61" s="1">
        <v>2</v>
      </c>
      <c r="T61" s="1">
        <v>1</v>
      </c>
      <c r="U61" s="1">
        <v>1</v>
      </c>
      <c r="V61" s="1">
        <v>0</v>
      </c>
    </row>
    <row r="62" spans="1:22" ht="22.05" customHeight="1" x14ac:dyDescent="0.3">
      <c r="A62" s="1" t="s">
        <v>123</v>
      </c>
      <c r="B62" s="1">
        <v>5</v>
      </c>
      <c r="C62" s="1">
        <v>3</v>
      </c>
      <c r="D62" s="1">
        <v>2</v>
      </c>
      <c r="E62" s="1">
        <v>2</v>
      </c>
      <c r="F62" s="1">
        <v>1</v>
      </c>
      <c r="G62" s="1">
        <v>3</v>
      </c>
      <c r="H62" s="1">
        <v>1</v>
      </c>
      <c r="I62" s="1">
        <v>3</v>
      </c>
      <c r="J62" s="1">
        <v>3</v>
      </c>
      <c r="K62" s="1">
        <v>1</v>
      </c>
      <c r="L62" s="1">
        <v>2</v>
      </c>
      <c r="M62" s="1">
        <v>3</v>
      </c>
      <c r="N62" s="1">
        <v>6</v>
      </c>
      <c r="O62" s="3">
        <v>46221.505555555559</v>
      </c>
      <c r="P62" s="3">
        <v>46221.513888888891</v>
      </c>
      <c r="Q62" s="1">
        <v>5</v>
      </c>
      <c r="R62" s="1">
        <v>2</v>
      </c>
      <c r="S62" s="1">
        <v>1</v>
      </c>
      <c r="T62" s="1">
        <v>1</v>
      </c>
      <c r="U62" s="1">
        <v>0</v>
      </c>
      <c r="V62" s="1">
        <v>1</v>
      </c>
    </row>
    <row r="63" spans="1:22" ht="22.05" customHeight="1" x14ac:dyDescent="0.3">
      <c r="A63" s="1" t="s">
        <v>124</v>
      </c>
      <c r="B63" s="1">
        <v>5</v>
      </c>
      <c r="C63" s="1">
        <v>3</v>
      </c>
      <c r="D63" s="1">
        <v>2</v>
      </c>
      <c r="E63" s="1">
        <v>2</v>
      </c>
      <c r="F63" s="1">
        <v>3</v>
      </c>
      <c r="G63" s="1">
        <v>1</v>
      </c>
      <c r="H63" s="1">
        <v>2</v>
      </c>
      <c r="I63" s="1">
        <v>3</v>
      </c>
      <c r="J63" s="1">
        <v>2</v>
      </c>
      <c r="K63" s="1">
        <v>1</v>
      </c>
      <c r="L63" s="1">
        <v>2</v>
      </c>
      <c r="M63" s="1">
        <v>2</v>
      </c>
      <c r="N63" s="1">
        <v>6</v>
      </c>
      <c r="O63" s="3">
        <v>46229.767361111109</v>
      </c>
      <c r="P63" s="3">
        <v>46229.77847222222</v>
      </c>
      <c r="Q63" s="1">
        <v>5</v>
      </c>
      <c r="R63" s="1">
        <v>2</v>
      </c>
      <c r="S63" s="1">
        <v>4</v>
      </c>
      <c r="T63" s="1">
        <v>1</v>
      </c>
      <c r="U63" s="1">
        <v>0</v>
      </c>
      <c r="V63" s="1">
        <v>0</v>
      </c>
    </row>
    <row r="64" spans="1:22" ht="22.05" customHeight="1" x14ac:dyDescent="0.3">
      <c r="A64" s="1" t="s">
        <v>125</v>
      </c>
      <c r="B64" s="1">
        <v>8</v>
      </c>
      <c r="C64" s="1">
        <v>5</v>
      </c>
      <c r="D64" s="1">
        <v>4</v>
      </c>
      <c r="E64" s="1">
        <v>4</v>
      </c>
      <c r="F64" s="1">
        <v>4</v>
      </c>
      <c r="G64" s="1">
        <v>5</v>
      </c>
      <c r="H64" s="1">
        <v>4</v>
      </c>
      <c r="I64" s="1">
        <v>5</v>
      </c>
      <c r="J64" s="1">
        <v>4</v>
      </c>
      <c r="K64" s="1">
        <v>5</v>
      </c>
      <c r="L64" s="1">
        <v>4</v>
      </c>
      <c r="M64" s="1">
        <v>4</v>
      </c>
      <c r="N64" s="1">
        <v>3</v>
      </c>
      <c r="O64" s="3">
        <v>46231.452777777777</v>
      </c>
      <c r="P64" s="3">
        <v>46231.45416666667</v>
      </c>
      <c r="Q64" s="1">
        <v>5</v>
      </c>
      <c r="R64" s="1">
        <v>0</v>
      </c>
      <c r="S64" s="1">
        <v>9</v>
      </c>
      <c r="T64" s="1">
        <v>1</v>
      </c>
      <c r="U64" s="1">
        <v>1</v>
      </c>
      <c r="V64" s="1">
        <v>1</v>
      </c>
    </row>
    <row r="65" spans="1:22" ht="22.05" customHeight="1" x14ac:dyDescent="0.3">
      <c r="A65" s="1" t="s">
        <v>126</v>
      </c>
      <c r="B65" s="1">
        <v>8</v>
      </c>
      <c r="C65" s="1">
        <v>4</v>
      </c>
      <c r="D65" s="1">
        <v>4</v>
      </c>
      <c r="E65" s="1">
        <v>4</v>
      </c>
      <c r="F65" s="1">
        <v>3</v>
      </c>
      <c r="G65" s="1">
        <v>3</v>
      </c>
      <c r="H65" s="1">
        <v>3</v>
      </c>
      <c r="I65" s="1">
        <v>4</v>
      </c>
      <c r="J65" s="1">
        <v>3</v>
      </c>
      <c r="K65" s="1">
        <v>4</v>
      </c>
      <c r="L65" s="1">
        <v>3</v>
      </c>
      <c r="M65" s="1">
        <v>3</v>
      </c>
      <c r="N65" s="1">
        <v>5</v>
      </c>
      <c r="O65" s="3">
        <v>46216.35833333333</v>
      </c>
      <c r="P65" s="3">
        <v>46216.361805555563</v>
      </c>
      <c r="Q65" s="1">
        <v>3</v>
      </c>
      <c r="R65" s="1">
        <v>0</v>
      </c>
      <c r="S65" s="1">
        <v>6</v>
      </c>
      <c r="T65" s="1">
        <v>1</v>
      </c>
      <c r="U65" s="1">
        <v>0</v>
      </c>
      <c r="V65" s="1">
        <v>1</v>
      </c>
    </row>
    <row r="66" spans="1:22" ht="22.05" customHeight="1" x14ac:dyDescent="0.3">
      <c r="A66" s="1" t="s">
        <v>127</v>
      </c>
      <c r="B66" s="1">
        <v>6</v>
      </c>
      <c r="C66" s="1">
        <v>4</v>
      </c>
      <c r="D66" s="1">
        <v>4</v>
      </c>
      <c r="E66" s="1">
        <v>3</v>
      </c>
      <c r="F66" s="1">
        <v>3</v>
      </c>
      <c r="G66" s="1">
        <v>3</v>
      </c>
      <c r="H66" s="1">
        <v>2</v>
      </c>
      <c r="I66" s="1">
        <v>3</v>
      </c>
      <c r="J66" s="1">
        <v>3</v>
      </c>
      <c r="K66" s="1">
        <v>3</v>
      </c>
      <c r="L66" s="1">
        <v>3</v>
      </c>
      <c r="M66" s="1">
        <v>2</v>
      </c>
      <c r="N66" s="1">
        <v>5</v>
      </c>
      <c r="O66" s="3">
        <v>46220.631249999999</v>
      </c>
      <c r="P66" s="3">
        <v>46220.636111111111</v>
      </c>
      <c r="Q66" s="1">
        <v>4</v>
      </c>
      <c r="R66" s="1">
        <v>1</v>
      </c>
      <c r="S66" s="1">
        <v>5</v>
      </c>
      <c r="T66" s="1">
        <v>1</v>
      </c>
      <c r="U66" s="1">
        <v>0</v>
      </c>
      <c r="V66" s="1">
        <v>1</v>
      </c>
    </row>
    <row r="67" spans="1:22" ht="22.05" customHeight="1" x14ac:dyDescent="0.3">
      <c r="A67" s="1" t="s">
        <v>128</v>
      </c>
      <c r="B67" s="1">
        <v>5</v>
      </c>
      <c r="C67" s="1">
        <v>3</v>
      </c>
      <c r="D67" s="1">
        <v>2</v>
      </c>
      <c r="E67" s="1">
        <v>2</v>
      </c>
      <c r="F67" s="1">
        <v>1</v>
      </c>
      <c r="G67" s="1">
        <v>2</v>
      </c>
      <c r="H67" s="1">
        <v>2</v>
      </c>
      <c r="I67" s="1">
        <v>2</v>
      </c>
      <c r="J67" s="1">
        <v>2</v>
      </c>
      <c r="K67" s="1">
        <v>3</v>
      </c>
      <c r="L67" s="1">
        <v>3</v>
      </c>
      <c r="M67" s="1">
        <v>4</v>
      </c>
      <c r="N67" s="1">
        <v>5</v>
      </c>
      <c r="O67" s="3">
        <v>46228.73333333333</v>
      </c>
      <c r="P67" s="3">
        <v>46228.740277777782</v>
      </c>
      <c r="Q67" s="1">
        <v>5</v>
      </c>
      <c r="R67" s="1">
        <v>0</v>
      </c>
      <c r="S67" s="1">
        <v>5</v>
      </c>
      <c r="T67" s="1">
        <v>0</v>
      </c>
      <c r="U67" s="1">
        <v>1</v>
      </c>
      <c r="V67" s="1">
        <v>1</v>
      </c>
    </row>
    <row r="68" spans="1:22" ht="22.05" customHeight="1" x14ac:dyDescent="0.3">
      <c r="A68" s="1" t="s">
        <v>129</v>
      </c>
      <c r="B68" s="1">
        <v>8</v>
      </c>
      <c r="C68" s="1">
        <v>4</v>
      </c>
      <c r="D68" s="1">
        <v>4</v>
      </c>
      <c r="E68" s="1">
        <v>4</v>
      </c>
      <c r="F68" s="1">
        <v>3</v>
      </c>
      <c r="G68" s="1">
        <v>4</v>
      </c>
      <c r="H68" s="1">
        <v>3</v>
      </c>
      <c r="I68" s="1">
        <v>4</v>
      </c>
      <c r="J68" s="1">
        <v>4</v>
      </c>
      <c r="K68" s="1">
        <v>3</v>
      </c>
      <c r="L68" s="1">
        <v>3</v>
      </c>
      <c r="M68" s="1">
        <v>4</v>
      </c>
      <c r="N68" s="1">
        <v>3</v>
      </c>
      <c r="O68" s="3">
        <v>46225.647916666669</v>
      </c>
      <c r="P68" s="3">
        <v>46225.649305555547</v>
      </c>
      <c r="Q68" s="1">
        <v>6</v>
      </c>
      <c r="R68" s="1">
        <v>0</v>
      </c>
      <c r="S68" s="1">
        <v>9</v>
      </c>
      <c r="T68" s="1">
        <v>1</v>
      </c>
      <c r="U68" s="1">
        <v>0</v>
      </c>
      <c r="V68" s="1">
        <v>1</v>
      </c>
    </row>
    <row r="69" spans="1:22" ht="22.05" customHeight="1" x14ac:dyDescent="0.3">
      <c r="A69" s="1" t="s">
        <v>130</v>
      </c>
      <c r="B69" s="1">
        <v>5</v>
      </c>
      <c r="C69" s="1">
        <v>4</v>
      </c>
      <c r="D69" s="1">
        <v>3</v>
      </c>
      <c r="E69" s="1">
        <v>2</v>
      </c>
      <c r="F69" s="1">
        <v>2</v>
      </c>
      <c r="G69" s="1">
        <v>2</v>
      </c>
      <c r="H69" s="1">
        <v>3</v>
      </c>
      <c r="I69" s="1">
        <v>1</v>
      </c>
      <c r="J69" s="1">
        <v>2</v>
      </c>
      <c r="K69" s="1">
        <v>3</v>
      </c>
      <c r="L69" s="1">
        <v>2</v>
      </c>
      <c r="M69" s="1">
        <v>2</v>
      </c>
      <c r="N69" s="1">
        <v>6</v>
      </c>
      <c r="O69" s="3">
        <v>46232.619444444441</v>
      </c>
      <c r="P69" s="3">
        <v>46232.625694444447</v>
      </c>
      <c r="Q69" s="1">
        <v>4</v>
      </c>
      <c r="R69" s="1">
        <v>3</v>
      </c>
      <c r="S69" s="1">
        <v>8</v>
      </c>
      <c r="T69" s="1">
        <v>0</v>
      </c>
      <c r="U69" s="1">
        <v>1</v>
      </c>
      <c r="V69" s="1">
        <v>1</v>
      </c>
    </row>
    <row r="70" spans="1:22" ht="22.05" customHeight="1" x14ac:dyDescent="0.3">
      <c r="A70" s="1" t="s">
        <v>131</v>
      </c>
      <c r="B70" s="1">
        <v>10</v>
      </c>
      <c r="C70" s="1">
        <v>4</v>
      </c>
      <c r="D70" s="1">
        <v>3</v>
      </c>
      <c r="E70" s="1">
        <v>4</v>
      </c>
      <c r="F70" s="1">
        <v>3</v>
      </c>
      <c r="G70" s="1">
        <v>3</v>
      </c>
      <c r="H70" s="1">
        <v>5</v>
      </c>
      <c r="I70" s="1">
        <v>4</v>
      </c>
      <c r="J70" s="1">
        <v>4</v>
      </c>
      <c r="K70" s="1">
        <v>4</v>
      </c>
      <c r="L70" s="1">
        <v>4</v>
      </c>
      <c r="M70" s="1">
        <v>4</v>
      </c>
      <c r="N70" s="1">
        <v>4</v>
      </c>
      <c r="O70" s="3">
        <v>46219.404861111107</v>
      </c>
      <c r="P70" s="3">
        <v>46219.410416666673</v>
      </c>
      <c r="Q70" s="1">
        <v>4</v>
      </c>
      <c r="R70" s="1">
        <v>0</v>
      </c>
      <c r="S70" s="1">
        <v>9</v>
      </c>
      <c r="T70" s="1">
        <v>1</v>
      </c>
      <c r="U70" s="1">
        <v>0</v>
      </c>
      <c r="V70" s="1">
        <v>1</v>
      </c>
    </row>
    <row r="71" spans="1:22" ht="22.05" customHeight="1" x14ac:dyDescent="0.3">
      <c r="A71" s="1" t="s">
        <v>132</v>
      </c>
      <c r="B71" s="1">
        <v>4</v>
      </c>
      <c r="C71" s="1">
        <v>2</v>
      </c>
      <c r="D71" s="1">
        <v>3</v>
      </c>
      <c r="E71" s="1">
        <v>2</v>
      </c>
      <c r="F71" s="1">
        <v>2</v>
      </c>
      <c r="G71" s="1">
        <v>4</v>
      </c>
      <c r="H71" s="1">
        <v>2</v>
      </c>
      <c r="I71" s="1">
        <v>3</v>
      </c>
      <c r="J71" s="1">
        <v>4</v>
      </c>
      <c r="K71" s="1">
        <v>3</v>
      </c>
      <c r="L71" s="1">
        <v>4</v>
      </c>
      <c r="M71" s="1">
        <v>3</v>
      </c>
      <c r="N71" s="1">
        <v>5</v>
      </c>
      <c r="O71" s="3">
        <v>46219.457638888889</v>
      </c>
      <c r="P71" s="3">
        <v>46219.465277777781</v>
      </c>
      <c r="Q71" s="1">
        <v>5</v>
      </c>
      <c r="R71" s="1">
        <v>3</v>
      </c>
      <c r="S71" s="1">
        <v>1</v>
      </c>
      <c r="T71" s="1">
        <v>1</v>
      </c>
      <c r="U71" s="1">
        <v>1</v>
      </c>
      <c r="V71" s="1">
        <v>1</v>
      </c>
    </row>
    <row r="72" spans="1:22" ht="22.05" customHeight="1" x14ac:dyDescent="0.3">
      <c r="A72" s="1" t="s">
        <v>133</v>
      </c>
      <c r="B72" s="1">
        <v>3</v>
      </c>
      <c r="C72" s="1">
        <v>3</v>
      </c>
      <c r="D72" s="1">
        <v>2</v>
      </c>
      <c r="E72" s="1">
        <v>3</v>
      </c>
      <c r="F72" s="1">
        <v>1</v>
      </c>
      <c r="G72" s="1">
        <v>3</v>
      </c>
      <c r="H72" s="1">
        <v>1</v>
      </c>
      <c r="I72" s="1">
        <v>1</v>
      </c>
      <c r="J72" s="1">
        <v>2</v>
      </c>
      <c r="K72" s="1">
        <v>2</v>
      </c>
      <c r="L72" s="1">
        <v>1</v>
      </c>
      <c r="M72" s="1">
        <v>3</v>
      </c>
      <c r="N72" s="1">
        <v>6</v>
      </c>
      <c r="O72" s="3">
        <v>46210.443749999999</v>
      </c>
      <c r="P72" s="3">
        <v>46210.456944444442</v>
      </c>
      <c r="Q72" s="1">
        <v>4</v>
      </c>
      <c r="R72" s="1">
        <v>1</v>
      </c>
      <c r="S72" s="1">
        <v>2</v>
      </c>
      <c r="T72" s="1">
        <v>1</v>
      </c>
      <c r="U72" s="1">
        <v>1</v>
      </c>
      <c r="V72" s="1">
        <v>1</v>
      </c>
    </row>
    <row r="73" spans="1:22" ht="22.05" customHeight="1" x14ac:dyDescent="0.3">
      <c r="A73" s="1" t="s">
        <v>134</v>
      </c>
      <c r="B73" s="1">
        <v>8</v>
      </c>
      <c r="C73" s="1">
        <v>5</v>
      </c>
      <c r="D73" s="1">
        <v>3</v>
      </c>
      <c r="E73" s="1">
        <v>4</v>
      </c>
      <c r="F73" s="1">
        <v>3</v>
      </c>
      <c r="G73" s="1">
        <v>3</v>
      </c>
      <c r="H73" s="1">
        <v>3</v>
      </c>
      <c r="I73" s="1">
        <v>4</v>
      </c>
      <c r="J73" s="1">
        <v>4</v>
      </c>
      <c r="K73" s="1">
        <v>3</v>
      </c>
      <c r="L73" s="1">
        <v>4</v>
      </c>
      <c r="M73" s="1">
        <v>2</v>
      </c>
      <c r="N73" s="1">
        <v>4</v>
      </c>
      <c r="O73" s="3">
        <v>46226.530555555553</v>
      </c>
      <c r="P73" s="3">
        <v>46226.535416666673</v>
      </c>
      <c r="Q73" s="1">
        <v>6</v>
      </c>
      <c r="R73" s="1">
        <v>2</v>
      </c>
      <c r="S73" s="1">
        <v>10</v>
      </c>
      <c r="T73" s="1">
        <v>1</v>
      </c>
      <c r="U73" s="1">
        <v>1</v>
      </c>
      <c r="V73" s="1">
        <v>1</v>
      </c>
    </row>
    <row r="74" spans="1:22" ht="22.05" customHeight="1" x14ac:dyDescent="0.3">
      <c r="A74" s="1" t="s">
        <v>135</v>
      </c>
      <c r="B74" s="1">
        <v>2</v>
      </c>
      <c r="C74" s="1">
        <v>2</v>
      </c>
      <c r="D74" s="1">
        <v>1</v>
      </c>
      <c r="E74" s="1">
        <v>2</v>
      </c>
      <c r="F74" s="1">
        <v>1</v>
      </c>
      <c r="G74" s="1">
        <v>1</v>
      </c>
      <c r="H74" s="1">
        <v>1</v>
      </c>
      <c r="I74" s="1">
        <v>1</v>
      </c>
      <c r="J74" s="1">
        <v>2</v>
      </c>
      <c r="K74" s="1">
        <v>2</v>
      </c>
      <c r="L74" s="1">
        <v>2</v>
      </c>
      <c r="M74" s="1">
        <v>1</v>
      </c>
      <c r="N74" s="1">
        <v>6</v>
      </c>
      <c r="O74" s="3">
        <v>46220.48333333333</v>
      </c>
      <c r="P74" s="3">
        <v>46220.494444444441</v>
      </c>
      <c r="Q74" s="1">
        <v>6</v>
      </c>
      <c r="R74" s="1">
        <v>1</v>
      </c>
      <c r="S74" s="1">
        <v>1</v>
      </c>
      <c r="T74" s="1">
        <v>1</v>
      </c>
      <c r="U74" s="1">
        <v>1</v>
      </c>
      <c r="V74" s="1">
        <v>1</v>
      </c>
    </row>
    <row r="75" spans="1:22" ht="22.05" customHeight="1" x14ac:dyDescent="0.3">
      <c r="A75" s="1" t="s">
        <v>136</v>
      </c>
      <c r="B75" s="1">
        <v>6</v>
      </c>
      <c r="C75" s="1">
        <v>3</v>
      </c>
      <c r="D75" s="1">
        <v>3</v>
      </c>
      <c r="E75" s="1">
        <v>3</v>
      </c>
      <c r="F75" s="1">
        <v>3</v>
      </c>
      <c r="G75" s="1">
        <v>3</v>
      </c>
      <c r="H75" s="1">
        <v>4</v>
      </c>
      <c r="I75" s="1">
        <v>2</v>
      </c>
      <c r="J75" s="1">
        <v>4</v>
      </c>
      <c r="K75" s="1">
        <v>3</v>
      </c>
      <c r="L75" s="1">
        <v>3</v>
      </c>
      <c r="M75" s="1">
        <v>5</v>
      </c>
      <c r="N75" s="1">
        <v>4</v>
      </c>
      <c r="O75" s="3">
        <v>46219.345833333333</v>
      </c>
      <c r="P75" s="3">
        <v>46219.347916666673</v>
      </c>
      <c r="Q75" s="1">
        <v>2</v>
      </c>
      <c r="R75" s="1">
        <v>0</v>
      </c>
      <c r="S75" s="1">
        <v>8</v>
      </c>
      <c r="T75" s="1">
        <v>1</v>
      </c>
      <c r="U75" s="1">
        <v>1</v>
      </c>
      <c r="V75" s="1">
        <v>0</v>
      </c>
    </row>
    <row r="76" spans="1:22" ht="22.05" customHeight="1" x14ac:dyDescent="0.3">
      <c r="A76" s="1" t="s">
        <v>137</v>
      </c>
      <c r="B76" s="1">
        <v>6</v>
      </c>
      <c r="C76" s="1">
        <v>3</v>
      </c>
      <c r="D76" s="1">
        <v>2</v>
      </c>
      <c r="E76" s="1">
        <v>1</v>
      </c>
      <c r="F76" s="1">
        <v>1</v>
      </c>
      <c r="G76" s="1">
        <v>2</v>
      </c>
      <c r="H76" s="1">
        <v>2</v>
      </c>
      <c r="I76" s="1">
        <v>2</v>
      </c>
      <c r="J76" s="1">
        <v>1</v>
      </c>
      <c r="K76" s="1">
        <v>2</v>
      </c>
      <c r="L76" s="1">
        <v>2</v>
      </c>
      <c r="M76" s="1">
        <v>2</v>
      </c>
      <c r="N76" s="1">
        <v>5</v>
      </c>
      <c r="O76" s="3">
        <v>46204.34652777778</v>
      </c>
      <c r="P76" s="3">
        <v>46204.352777777778</v>
      </c>
      <c r="Q76" s="1">
        <v>6</v>
      </c>
      <c r="R76" s="1">
        <v>3</v>
      </c>
      <c r="S76" s="1">
        <v>6</v>
      </c>
      <c r="T76" s="1">
        <v>1</v>
      </c>
      <c r="U76" s="1">
        <v>0</v>
      </c>
      <c r="V76" s="1">
        <v>1</v>
      </c>
    </row>
    <row r="77" spans="1:22" ht="22.05" customHeight="1" x14ac:dyDescent="0.3">
      <c r="A77" s="1" t="s">
        <v>138</v>
      </c>
      <c r="B77" s="1">
        <v>7</v>
      </c>
      <c r="C77" s="1">
        <v>2</v>
      </c>
      <c r="D77" s="1">
        <v>3</v>
      </c>
      <c r="E77" s="1">
        <v>2</v>
      </c>
      <c r="F77" s="1">
        <v>2</v>
      </c>
      <c r="G77" s="1">
        <v>2</v>
      </c>
      <c r="H77" s="1">
        <v>1</v>
      </c>
      <c r="I77" s="1">
        <v>2</v>
      </c>
      <c r="J77" s="1">
        <v>3</v>
      </c>
      <c r="K77" s="1">
        <v>2</v>
      </c>
      <c r="L77" s="1">
        <v>3</v>
      </c>
      <c r="M77" s="1">
        <v>2</v>
      </c>
      <c r="N77" s="1">
        <v>5</v>
      </c>
      <c r="O77" s="3">
        <v>46208.679166666669</v>
      </c>
      <c r="P77" s="3">
        <v>46208.684027777781</v>
      </c>
      <c r="Q77" s="1">
        <v>6</v>
      </c>
      <c r="R77" s="1">
        <v>1</v>
      </c>
      <c r="S77" s="1">
        <v>9</v>
      </c>
      <c r="T77" s="1">
        <v>0</v>
      </c>
      <c r="U77" s="1">
        <v>1</v>
      </c>
      <c r="V77" s="1">
        <v>1</v>
      </c>
    </row>
    <row r="78" spans="1:22" ht="22.05" customHeight="1" x14ac:dyDescent="0.3">
      <c r="A78" s="1" t="s">
        <v>139</v>
      </c>
      <c r="B78" s="1">
        <v>8</v>
      </c>
      <c r="C78" s="1">
        <v>3</v>
      </c>
      <c r="D78" s="1">
        <v>4</v>
      </c>
      <c r="E78" s="1">
        <v>4</v>
      </c>
      <c r="F78" s="1">
        <v>3</v>
      </c>
      <c r="G78" s="1">
        <v>3</v>
      </c>
      <c r="H78" s="1">
        <v>3</v>
      </c>
      <c r="I78" s="1">
        <v>4</v>
      </c>
      <c r="J78" s="1">
        <v>2</v>
      </c>
      <c r="K78" s="1">
        <v>4</v>
      </c>
      <c r="L78" s="1">
        <v>3</v>
      </c>
      <c r="M78" s="1">
        <v>2</v>
      </c>
      <c r="N78" s="1">
        <v>3</v>
      </c>
      <c r="O78" s="3">
        <v>46213.59097222222</v>
      </c>
      <c r="P78" s="3">
        <v>46213.597916666673</v>
      </c>
      <c r="Q78" s="1">
        <v>3</v>
      </c>
      <c r="R78" s="1">
        <v>0</v>
      </c>
      <c r="S78" s="1">
        <v>7</v>
      </c>
      <c r="T78" s="1">
        <v>1</v>
      </c>
      <c r="U78" s="1">
        <v>0</v>
      </c>
      <c r="V78" s="1">
        <v>1</v>
      </c>
    </row>
    <row r="79" spans="1:22" ht="22.05" customHeight="1" x14ac:dyDescent="0.3">
      <c r="A79" s="1" t="s">
        <v>140</v>
      </c>
      <c r="B79" s="1">
        <v>4</v>
      </c>
      <c r="C79" s="1">
        <v>3</v>
      </c>
      <c r="D79" s="1">
        <v>3</v>
      </c>
      <c r="E79" s="1">
        <v>3</v>
      </c>
      <c r="F79" s="1">
        <v>1</v>
      </c>
      <c r="G79" s="1">
        <v>3</v>
      </c>
      <c r="H79" s="1">
        <v>2</v>
      </c>
      <c r="I79" s="1">
        <v>2</v>
      </c>
      <c r="J79" s="1">
        <v>2</v>
      </c>
      <c r="K79" s="1">
        <v>1</v>
      </c>
      <c r="L79" s="1">
        <v>1</v>
      </c>
      <c r="M79" s="1">
        <v>2</v>
      </c>
      <c r="N79" s="1">
        <v>6</v>
      </c>
      <c r="O79" s="3">
        <v>46228.740277777782</v>
      </c>
      <c r="P79" s="3">
        <v>46228.75</v>
      </c>
      <c r="Q79" s="1">
        <v>5</v>
      </c>
      <c r="R79" s="1">
        <v>3</v>
      </c>
      <c r="S79" s="1">
        <v>1</v>
      </c>
      <c r="T79" s="1">
        <v>1</v>
      </c>
      <c r="U79" s="1">
        <v>0</v>
      </c>
      <c r="V79" s="1">
        <v>0</v>
      </c>
    </row>
    <row r="80" spans="1:22" ht="22.05" customHeight="1" x14ac:dyDescent="0.3">
      <c r="A80" s="1" t="s">
        <v>141</v>
      </c>
      <c r="B80" s="1">
        <v>5</v>
      </c>
      <c r="C80" s="1">
        <v>3</v>
      </c>
      <c r="D80" s="1">
        <v>3</v>
      </c>
      <c r="E80" s="1">
        <v>4</v>
      </c>
      <c r="F80" s="1">
        <v>3</v>
      </c>
      <c r="G80" s="1">
        <v>4</v>
      </c>
      <c r="H80" s="1">
        <v>2</v>
      </c>
      <c r="I80" s="1">
        <v>3</v>
      </c>
      <c r="J80" s="1">
        <v>3</v>
      </c>
      <c r="K80" s="1">
        <v>4</v>
      </c>
      <c r="L80" s="1">
        <v>4</v>
      </c>
      <c r="M80" s="1">
        <v>3</v>
      </c>
      <c r="N80" s="1">
        <v>3</v>
      </c>
      <c r="O80" s="3">
        <v>46229.658333333333</v>
      </c>
      <c r="P80" s="3">
        <v>46229.667361111111</v>
      </c>
      <c r="Q80" s="1">
        <v>2</v>
      </c>
      <c r="R80" s="1">
        <v>0</v>
      </c>
      <c r="S80" s="1">
        <v>5</v>
      </c>
      <c r="T80" s="1">
        <v>1</v>
      </c>
      <c r="U80" s="1">
        <v>1</v>
      </c>
      <c r="V80" s="1">
        <v>0</v>
      </c>
    </row>
    <row r="81" spans="1:22" ht="22.05" customHeight="1" x14ac:dyDescent="0.3">
      <c r="A81" s="1" t="s">
        <v>142</v>
      </c>
      <c r="B81" s="1">
        <v>6</v>
      </c>
      <c r="C81" s="1">
        <v>3</v>
      </c>
      <c r="D81" s="1">
        <v>3</v>
      </c>
      <c r="E81" s="1">
        <v>2</v>
      </c>
      <c r="F81" s="1">
        <v>4</v>
      </c>
      <c r="G81" s="1">
        <v>2</v>
      </c>
      <c r="H81" s="1">
        <v>3</v>
      </c>
      <c r="I81" s="1">
        <v>3</v>
      </c>
      <c r="J81" s="1">
        <v>3</v>
      </c>
      <c r="K81" s="1">
        <v>4</v>
      </c>
      <c r="L81" s="1">
        <v>1</v>
      </c>
      <c r="M81" s="1">
        <v>3</v>
      </c>
      <c r="N81" s="1">
        <v>4</v>
      </c>
      <c r="O81" s="3">
        <v>46209.548611111109</v>
      </c>
      <c r="P81" s="3">
        <v>46209.553472222222</v>
      </c>
      <c r="Q81" s="1">
        <v>6</v>
      </c>
      <c r="R81" s="1">
        <v>1</v>
      </c>
      <c r="S81" s="1">
        <v>8</v>
      </c>
      <c r="T81" s="1">
        <v>1</v>
      </c>
      <c r="U81" s="1">
        <v>0</v>
      </c>
      <c r="V81" s="1">
        <v>1</v>
      </c>
    </row>
    <row r="82" spans="1:22" ht="22.05" customHeight="1" x14ac:dyDescent="0.3">
      <c r="A82" s="1" t="s">
        <v>143</v>
      </c>
      <c r="B82" s="1">
        <v>10</v>
      </c>
      <c r="C82" s="1">
        <v>5</v>
      </c>
      <c r="D82" s="1">
        <v>5</v>
      </c>
      <c r="E82" s="1">
        <v>5</v>
      </c>
      <c r="F82" s="1">
        <v>4</v>
      </c>
      <c r="G82" s="1">
        <v>4</v>
      </c>
      <c r="H82" s="1">
        <v>3</v>
      </c>
      <c r="I82" s="1">
        <v>3</v>
      </c>
      <c r="J82" s="1">
        <v>5</v>
      </c>
      <c r="K82" s="1">
        <v>4</v>
      </c>
      <c r="L82" s="1">
        <v>5</v>
      </c>
      <c r="M82" s="1">
        <v>4</v>
      </c>
      <c r="N82" s="1">
        <v>2</v>
      </c>
      <c r="O82" s="3">
        <v>46217.334027777782</v>
      </c>
      <c r="P82" s="3">
        <v>46217.335416666669</v>
      </c>
      <c r="Q82" s="1">
        <v>3</v>
      </c>
      <c r="R82" s="1">
        <v>1</v>
      </c>
      <c r="S82" s="1">
        <v>8</v>
      </c>
      <c r="T82" s="1">
        <v>1</v>
      </c>
      <c r="U82" s="1">
        <v>1</v>
      </c>
      <c r="V82" s="1">
        <v>1</v>
      </c>
    </row>
    <row r="83" spans="1:22" ht="22.05" customHeight="1" x14ac:dyDescent="0.3">
      <c r="A83" s="1" t="s">
        <v>144</v>
      </c>
      <c r="B83" s="1">
        <v>5</v>
      </c>
      <c r="C83" s="1">
        <v>3</v>
      </c>
      <c r="D83" s="1">
        <v>2</v>
      </c>
      <c r="E83" s="1">
        <v>2</v>
      </c>
      <c r="F83" s="1">
        <v>3</v>
      </c>
      <c r="G83" s="1">
        <v>2</v>
      </c>
      <c r="H83" s="1">
        <v>3</v>
      </c>
      <c r="I83" s="1">
        <v>1</v>
      </c>
      <c r="J83" s="1">
        <v>1</v>
      </c>
      <c r="K83" s="1">
        <v>2</v>
      </c>
      <c r="L83" s="1">
        <v>3</v>
      </c>
      <c r="M83" s="1">
        <v>3</v>
      </c>
      <c r="N83" s="1">
        <v>4</v>
      </c>
      <c r="O83" s="3">
        <v>46231.783333333333</v>
      </c>
      <c r="P83" s="3">
        <v>46231.790277777778</v>
      </c>
      <c r="Q83" s="1">
        <v>7</v>
      </c>
      <c r="R83" s="1">
        <v>1</v>
      </c>
      <c r="S83" s="1">
        <v>3</v>
      </c>
      <c r="T83" s="1">
        <v>1</v>
      </c>
      <c r="U83" s="1">
        <v>0</v>
      </c>
      <c r="V83" s="1">
        <v>0</v>
      </c>
    </row>
    <row r="84" spans="1:22" ht="22.05" customHeight="1" x14ac:dyDescent="0.3">
      <c r="A84" s="1" t="s">
        <v>145</v>
      </c>
      <c r="B84" s="1">
        <v>9</v>
      </c>
      <c r="C84" s="1">
        <v>5</v>
      </c>
      <c r="D84" s="1">
        <v>4</v>
      </c>
      <c r="E84" s="1">
        <v>4</v>
      </c>
      <c r="F84" s="1">
        <v>4</v>
      </c>
      <c r="G84" s="1">
        <v>5</v>
      </c>
      <c r="H84" s="1">
        <v>4</v>
      </c>
      <c r="I84" s="1">
        <v>4</v>
      </c>
      <c r="J84" s="1">
        <v>4</v>
      </c>
      <c r="K84" s="1">
        <v>4</v>
      </c>
      <c r="L84" s="1">
        <v>5</v>
      </c>
      <c r="M84" s="1">
        <v>5</v>
      </c>
      <c r="N84" s="1">
        <v>4</v>
      </c>
      <c r="O84" s="3">
        <v>46204.484027777777</v>
      </c>
      <c r="P84" s="3">
        <v>46204.488888888889</v>
      </c>
      <c r="Q84" s="1">
        <v>5</v>
      </c>
      <c r="R84" s="1">
        <v>0</v>
      </c>
      <c r="S84" s="1">
        <v>12</v>
      </c>
      <c r="T84" s="1">
        <v>1</v>
      </c>
      <c r="U84" s="1">
        <v>1</v>
      </c>
      <c r="V84" s="1">
        <v>1</v>
      </c>
    </row>
    <row r="85" spans="1:22" ht="22.05" customHeight="1" x14ac:dyDescent="0.3">
      <c r="A85" s="1" t="s">
        <v>146</v>
      </c>
      <c r="B85" s="1">
        <v>5</v>
      </c>
      <c r="C85" s="1">
        <v>2</v>
      </c>
      <c r="D85" s="1">
        <v>3</v>
      </c>
      <c r="E85" s="1">
        <v>2</v>
      </c>
      <c r="F85" s="1">
        <v>3</v>
      </c>
      <c r="G85" s="1">
        <v>2</v>
      </c>
      <c r="H85" s="1">
        <v>3</v>
      </c>
      <c r="I85" s="1">
        <v>2</v>
      </c>
      <c r="J85" s="1">
        <v>2</v>
      </c>
      <c r="K85" s="1">
        <v>1</v>
      </c>
      <c r="L85" s="1">
        <v>1</v>
      </c>
      <c r="M85" s="1">
        <v>2</v>
      </c>
      <c r="N85" s="1">
        <v>6</v>
      </c>
      <c r="O85" s="3">
        <v>46229.646527777782</v>
      </c>
      <c r="P85" s="3">
        <v>46229.658333333333</v>
      </c>
      <c r="Q85" s="1">
        <v>6</v>
      </c>
      <c r="R85" s="1">
        <v>2</v>
      </c>
      <c r="S85" s="1">
        <v>6</v>
      </c>
      <c r="T85" s="1">
        <v>1</v>
      </c>
      <c r="U85" s="1">
        <v>1</v>
      </c>
      <c r="V85" s="1">
        <v>1</v>
      </c>
    </row>
    <row r="86" spans="1:22" ht="22.05" customHeight="1" x14ac:dyDescent="0.3">
      <c r="A86" s="1" t="s">
        <v>147</v>
      </c>
      <c r="B86" s="1">
        <v>6</v>
      </c>
      <c r="C86" s="1">
        <v>3</v>
      </c>
      <c r="D86" s="1">
        <v>2</v>
      </c>
      <c r="E86" s="1">
        <v>3</v>
      </c>
      <c r="F86" s="1">
        <v>3</v>
      </c>
      <c r="G86" s="1">
        <v>2</v>
      </c>
      <c r="H86" s="1">
        <v>2</v>
      </c>
      <c r="I86" s="1">
        <v>2</v>
      </c>
      <c r="J86" s="1">
        <v>3</v>
      </c>
      <c r="K86" s="1">
        <v>3</v>
      </c>
      <c r="L86" s="1">
        <v>2</v>
      </c>
      <c r="M86" s="1">
        <v>2</v>
      </c>
      <c r="N86" s="1">
        <v>6</v>
      </c>
      <c r="O86" s="3">
        <v>46207.336805555547</v>
      </c>
      <c r="P86" s="3">
        <v>46207.345138888893</v>
      </c>
      <c r="Q86" s="1">
        <v>6</v>
      </c>
      <c r="R86" s="1">
        <v>3</v>
      </c>
      <c r="S86" s="1">
        <v>8</v>
      </c>
      <c r="T86" s="1">
        <v>0</v>
      </c>
      <c r="U86" s="1">
        <v>1</v>
      </c>
      <c r="V86" s="1">
        <v>1</v>
      </c>
    </row>
    <row r="87" spans="1:22" ht="22.05" customHeight="1" x14ac:dyDescent="0.3">
      <c r="A87" s="1" t="s">
        <v>148</v>
      </c>
      <c r="B87" s="1">
        <v>4</v>
      </c>
      <c r="C87" s="1">
        <v>3</v>
      </c>
      <c r="D87" s="1">
        <v>3</v>
      </c>
      <c r="E87" s="1">
        <v>3</v>
      </c>
      <c r="F87" s="1">
        <v>3</v>
      </c>
      <c r="G87" s="1">
        <v>2</v>
      </c>
      <c r="H87" s="1">
        <v>3</v>
      </c>
      <c r="I87" s="1">
        <v>3</v>
      </c>
      <c r="J87" s="1">
        <v>3</v>
      </c>
      <c r="K87" s="1">
        <v>2</v>
      </c>
      <c r="L87" s="1">
        <v>3</v>
      </c>
      <c r="M87" s="1">
        <v>2</v>
      </c>
      <c r="N87" s="1">
        <v>5</v>
      </c>
      <c r="O87" s="3">
        <v>46207.429861111108</v>
      </c>
      <c r="P87" s="3">
        <v>46207.438194444447</v>
      </c>
      <c r="Q87" s="1">
        <v>7</v>
      </c>
      <c r="R87" s="1">
        <v>0</v>
      </c>
      <c r="S87" s="1">
        <v>4</v>
      </c>
      <c r="T87" s="1">
        <v>1</v>
      </c>
      <c r="U87" s="1">
        <v>1</v>
      </c>
      <c r="V87" s="1">
        <v>1</v>
      </c>
    </row>
    <row r="88" spans="1:22" ht="22.05" customHeight="1" x14ac:dyDescent="0.3">
      <c r="A88" s="1" t="s">
        <v>149</v>
      </c>
      <c r="B88" s="1">
        <v>5</v>
      </c>
      <c r="C88" s="1">
        <v>4</v>
      </c>
      <c r="D88" s="1">
        <v>2</v>
      </c>
      <c r="E88" s="1">
        <v>4</v>
      </c>
      <c r="F88" s="1">
        <v>2</v>
      </c>
      <c r="G88" s="1">
        <v>2</v>
      </c>
      <c r="H88" s="1">
        <v>3</v>
      </c>
      <c r="I88" s="1">
        <v>2</v>
      </c>
      <c r="J88" s="1">
        <v>3</v>
      </c>
      <c r="K88" s="1">
        <v>4</v>
      </c>
      <c r="L88" s="1">
        <v>2</v>
      </c>
      <c r="M88" s="1">
        <v>4</v>
      </c>
      <c r="N88" s="1">
        <v>5</v>
      </c>
      <c r="O88" s="3">
        <v>46210.731944444437</v>
      </c>
      <c r="P88" s="3">
        <v>46210.740277777782</v>
      </c>
      <c r="Q88" s="1">
        <v>7</v>
      </c>
      <c r="R88" s="1">
        <v>3</v>
      </c>
      <c r="S88" s="1">
        <v>8</v>
      </c>
      <c r="T88" s="1">
        <v>1</v>
      </c>
      <c r="U88" s="1">
        <v>1</v>
      </c>
      <c r="V88" s="1">
        <v>1</v>
      </c>
    </row>
    <row r="89" spans="1:22" ht="22.05" customHeight="1" x14ac:dyDescent="0.3">
      <c r="A89" s="1" t="s">
        <v>150</v>
      </c>
      <c r="B89" s="1">
        <v>5</v>
      </c>
      <c r="C89" s="1">
        <v>3</v>
      </c>
      <c r="D89" s="1">
        <v>2</v>
      </c>
      <c r="E89" s="1">
        <v>1</v>
      </c>
      <c r="F89" s="1">
        <v>2</v>
      </c>
      <c r="G89" s="1">
        <v>1</v>
      </c>
      <c r="H89" s="1">
        <v>2</v>
      </c>
      <c r="I89" s="1">
        <v>3</v>
      </c>
      <c r="J89" s="1">
        <v>2</v>
      </c>
      <c r="K89" s="1">
        <v>2</v>
      </c>
      <c r="L89" s="1">
        <v>2</v>
      </c>
      <c r="M89" s="1">
        <v>3</v>
      </c>
      <c r="N89" s="1">
        <v>4</v>
      </c>
      <c r="O89" s="3">
        <v>46229.693055555559</v>
      </c>
      <c r="P89" s="3">
        <v>46229.701388888891</v>
      </c>
      <c r="Q89" s="1">
        <v>5</v>
      </c>
      <c r="R89" s="1">
        <v>1</v>
      </c>
      <c r="S89" s="1">
        <v>2</v>
      </c>
      <c r="T89" s="1">
        <v>0</v>
      </c>
      <c r="U89" s="1">
        <v>0</v>
      </c>
      <c r="V89" s="1">
        <v>1</v>
      </c>
    </row>
    <row r="90" spans="1:22" ht="22.05" customHeight="1" x14ac:dyDescent="0.3">
      <c r="A90" s="1" t="s">
        <v>151</v>
      </c>
      <c r="B90" s="1">
        <v>1</v>
      </c>
      <c r="C90" s="1">
        <v>3</v>
      </c>
      <c r="D90" s="1">
        <v>2</v>
      </c>
      <c r="E90" s="1">
        <v>3</v>
      </c>
      <c r="F90" s="1">
        <v>1</v>
      </c>
      <c r="G90" s="1">
        <v>2</v>
      </c>
      <c r="H90" s="1">
        <v>1</v>
      </c>
      <c r="I90" s="1">
        <v>2</v>
      </c>
      <c r="J90" s="1">
        <v>1</v>
      </c>
      <c r="K90" s="1">
        <v>3</v>
      </c>
      <c r="L90" s="1">
        <v>1</v>
      </c>
      <c r="M90" s="1">
        <v>2</v>
      </c>
      <c r="N90" s="1">
        <v>5</v>
      </c>
      <c r="O90" s="3">
        <v>46215.354166666657</v>
      </c>
      <c r="P90" s="3">
        <v>46215.365972222222</v>
      </c>
      <c r="Q90" s="1">
        <v>7</v>
      </c>
      <c r="R90" s="1">
        <v>4</v>
      </c>
      <c r="S90" s="1">
        <v>1</v>
      </c>
      <c r="T90" s="1">
        <v>1</v>
      </c>
      <c r="U90" s="1">
        <v>0</v>
      </c>
      <c r="V90" s="1">
        <v>1</v>
      </c>
    </row>
    <row r="91" spans="1:22" ht="22.05" customHeight="1" x14ac:dyDescent="0.3">
      <c r="A91" s="1" t="s">
        <v>152</v>
      </c>
      <c r="B91" s="1">
        <v>7</v>
      </c>
      <c r="C91" s="1">
        <v>5</v>
      </c>
      <c r="D91" s="1">
        <v>4</v>
      </c>
      <c r="E91" s="1">
        <v>3</v>
      </c>
      <c r="F91" s="1">
        <v>3</v>
      </c>
      <c r="G91" s="1">
        <v>4</v>
      </c>
      <c r="H91" s="1">
        <v>5</v>
      </c>
      <c r="I91" s="1">
        <v>3</v>
      </c>
      <c r="J91" s="1">
        <v>4</v>
      </c>
      <c r="K91" s="1">
        <v>4</v>
      </c>
      <c r="L91" s="1">
        <v>4</v>
      </c>
      <c r="M91" s="1">
        <v>4</v>
      </c>
      <c r="N91" s="1">
        <v>5</v>
      </c>
      <c r="O91" s="3">
        <v>46216.757638888892</v>
      </c>
      <c r="P91" s="3">
        <v>46216.763194444437</v>
      </c>
      <c r="Q91" s="1">
        <v>5</v>
      </c>
      <c r="R91" s="1">
        <v>0</v>
      </c>
      <c r="S91" s="1">
        <v>9</v>
      </c>
      <c r="T91" s="1">
        <v>1</v>
      </c>
      <c r="U91" s="1">
        <v>1</v>
      </c>
      <c r="V91" s="1">
        <v>1</v>
      </c>
    </row>
    <row r="92" spans="1:22" ht="22.05" customHeight="1" x14ac:dyDescent="0.3">
      <c r="A92" s="1" t="s">
        <v>153</v>
      </c>
      <c r="B92" s="1">
        <v>4</v>
      </c>
      <c r="C92" s="1">
        <v>2</v>
      </c>
      <c r="D92" s="1">
        <v>2</v>
      </c>
      <c r="E92" s="1">
        <v>3</v>
      </c>
      <c r="F92" s="1">
        <v>3</v>
      </c>
      <c r="G92" s="1">
        <v>3</v>
      </c>
      <c r="H92" s="1">
        <v>2</v>
      </c>
      <c r="I92" s="1">
        <v>2</v>
      </c>
      <c r="J92" s="1">
        <v>3</v>
      </c>
      <c r="K92" s="1">
        <v>3</v>
      </c>
      <c r="L92" s="1">
        <v>2</v>
      </c>
      <c r="M92" s="1">
        <v>3</v>
      </c>
      <c r="N92" s="1">
        <v>4</v>
      </c>
      <c r="O92" s="3">
        <v>46207.556944444441</v>
      </c>
      <c r="P92" s="3">
        <v>46207.565972222219</v>
      </c>
      <c r="Q92" s="1">
        <v>3</v>
      </c>
      <c r="R92" s="1">
        <v>0</v>
      </c>
      <c r="S92" s="1">
        <v>4</v>
      </c>
      <c r="T92" s="1">
        <v>1</v>
      </c>
      <c r="U92" s="1">
        <v>1</v>
      </c>
      <c r="V92" s="1">
        <v>1</v>
      </c>
    </row>
    <row r="93" spans="1:22" ht="22.05" customHeight="1" x14ac:dyDescent="0.3">
      <c r="A93" s="1" t="s">
        <v>154</v>
      </c>
      <c r="B93" s="1">
        <v>7</v>
      </c>
      <c r="C93" s="1">
        <v>4</v>
      </c>
      <c r="D93" s="1">
        <v>3</v>
      </c>
      <c r="E93" s="1">
        <v>3</v>
      </c>
      <c r="F93" s="1">
        <v>3</v>
      </c>
      <c r="G93" s="1">
        <v>3</v>
      </c>
      <c r="H93" s="1">
        <v>4</v>
      </c>
      <c r="I93" s="1">
        <v>3</v>
      </c>
      <c r="J93" s="1">
        <v>2</v>
      </c>
      <c r="K93" s="1">
        <v>4</v>
      </c>
      <c r="L93" s="1">
        <v>3</v>
      </c>
      <c r="M93" s="1">
        <v>3</v>
      </c>
      <c r="N93" s="1">
        <v>3</v>
      </c>
      <c r="O93" s="3">
        <v>46214.652083333327</v>
      </c>
      <c r="P93" s="3">
        <v>46214.65902777778</v>
      </c>
      <c r="Q93" s="1">
        <v>6</v>
      </c>
      <c r="R93" s="1">
        <v>2</v>
      </c>
      <c r="S93" s="1">
        <v>6</v>
      </c>
      <c r="T93" s="1">
        <v>1</v>
      </c>
      <c r="U93" s="1">
        <v>1</v>
      </c>
      <c r="V93" s="1">
        <v>0</v>
      </c>
    </row>
    <row r="94" spans="1:22" ht="22.05" customHeight="1" x14ac:dyDescent="0.3">
      <c r="A94" s="1" t="s">
        <v>155</v>
      </c>
      <c r="B94" s="1">
        <v>6</v>
      </c>
      <c r="C94" s="1">
        <v>4</v>
      </c>
      <c r="D94" s="1">
        <v>3</v>
      </c>
      <c r="E94" s="1">
        <v>3</v>
      </c>
      <c r="F94" s="1">
        <v>3</v>
      </c>
      <c r="G94" s="1">
        <v>3</v>
      </c>
      <c r="H94" s="1">
        <v>2</v>
      </c>
      <c r="I94" s="1">
        <v>3</v>
      </c>
      <c r="J94" s="1">
        <v>3</v>
      </c>
      <c r="K94" s="1">
        <v>2</v>
      </c>
      <c r="L94" s="1">
        <v>3</v>
      </c>
      <c r="M94" s="1">
        <v>3</v>
      </c>
      <c r="N94" s="1">
        <v>4</v>
      </c>
      <c r="O94" s="3">
        <v>46228.702777777777</v>
      </c>
      <c r="P94" s="3">
        <v>46228.712500000001</v>
      </c>
      <c r="Q94" s="1">
        <v>5</v>
      </c>
      <c r="R94" s="1">
        <v>1</v>
      </c>
      <c r="S94" s="1">
        <v>5</v>
      </c>
      <c r="T94" s="1">
        <v>1</v>
      </c>
      <c r="U94" s="1">
        <v>0</v>
      </c>
      <c r="V94" s="1">
        <v>1</v>
      </c>
    </row>
    <row r="95" spans="1:22" ht="22.05" customHeight="1" x14ac:dyDescent="0.3">
      <c r="A95" s="1" t="s">
        <v>156</v>
      </c>
      <c r="B95" s="1">
        <v>4</v>
      </c>
      <c r="C95" s="1">
        <v>4</v>
      </c>
      <c r="D95" s="1">
        <v>3</v>
      </c>
      <c r="E95" s="1">
        <v>3</v>
      </c>
      <c r="F95" s="1">
        <v>3</v>
      </c>
      <c r="G95" s="1">
        <v>2</v>
      </c>
      <c r="H95" s="1">
        <v>3</v>
      </c>
      <c r="I95" s="1">
        <v>2</v>
      </c>
      <c r="J95" s="1">
        <v>1</v>
      </c>
      <c r="K95" s="1">
        <v>2</v>
      </c>
      <c r="L95" s="1">
        <v>2</v>
      </c>
      <c r="M95" s="1">
        <v>1</v>
      </c>
      <c r="N95" s="1">
        <v>6</v>
      </c>
      <c r="O95" s="3">
        <v>46230.493750000001</v>
      </c>
      <c r="P95" s="3">
        <v>46230.500694444447</v>
      </c>
      <c r="Q95" s="1">
        <v>7</v>
      </c>
      <c r="R95" s="1">
        <v>4</v>
      </c>
      <c r="S95" s="1">
        <v>4</v>
      </c>
      <c r="T95" s="1">
        <v>0</v>
      </c>
      <c r="U95" s="1">
        <v>0</v>
      </c>
      <c r="V95" s="1">
        <v>1</v>
      </c>
    </row>
    <row r="96" spans="1:22" ht="22.05" customHeight="1" x14ac:dyDescent="0.3">
      <c r="A96" s="1" t="s">
        <v>157</v>
      </c>
      <c r="B96" s="1">
        <v>10</v>
      </c>
      <c r="C96" s="1">
        <v>5</v>
      </c>
      <c r="D96" s="1">
        <v>5</v>
      </c>
      <c r="E96" s="1">
        <v>4</v>
      </c>
      <c r="F96" s="1">
        <v>5</v>
      </c>
      <c r="G96" s="1">
        <v>4</v>
      </c>
      <c r="H96" s="1">
        <v>4</v>
      </c>
      <c r="I96" s="1">
        <v>3</v>
      </c>
      <c r="J96" s="1">
        <v>4</v>
      </c>
      <c r="K96" s="1">
        <v>3</v>
      </c>
      <c r="L96" s="1">
        <v>4</v>
      </c>
      <c r="M96" s="1">
        <v>4</v>
      </c>
      <c r="N96" s="1">
        <v>1</v>
      </c>
      <c r="O96" s="3">
        <v>46212.768055555563</v>
      </c>
      <c r="P96" s="3">
        <v>46212.770138888889</v>
      </c>
      <c r="Q96" s="1">
        <v>4</v>
      </c>
      <c r="R96" s="1">
        <v>0</v>
      </c>
      <c r="S96" s="1">
        <v>8</v>
      </c>
      <c r="T96" s="1">
        <v>1</v>
      </c>
      <c r="U96" s="1">
        <v>1</v>
      </c>
      <c r="V96" s="1">
        <v>1</v>
      </c>
    </row>
    <row r="97" spans="1:22" ht="22.05" customHeight="1" x14ac:dyDescent="0.3">
      <c r="A97" s="1" t="s">
        <v>158</v>
      </c>
      <c r="B97" s="1">
        <v>7</v>
      </c>
      <c r="C97" s="1">
        <v>2</v>
      </c>
      <c r="D97" s="1">
        <v>4</v>
      </c>
      <c r="E97" s="1">
        <v>2</v>
      </c>
      <c r="F97" s="1">
        <v>2</v>
      </c>
      <c r="G97" s="1">
        <v>3</v>
      </c>
      <c r="H97" s="1">
        <v>2</v>
      </c>
      <c r="I97" s="1">
        <v>1</v>
      </c>
      <c r="J97" s="1">
        <v>4</v>
      </c>
      <c r="K97" s="1">
        <v>3</v>
      </c>
      <c r="L97" s="1">
        <v>2</v>
      </c>
      <c r="M97" s="1">
        <v>2</v>
      </c>
      <c r="N97" s="1">
        <v>6</v>
      </c>
      <c r="O97" s="3">
        <v>46221.713888888888</v>
      </c>
      <c r="P97" s="3">
        <v>46221.723611111112</v>
      </c>
      <c r="Q97" s="1">
        <v>4</v>
      </c>
      <c r="R97" s="1">
        <v>2</v>
      </c>
      <c r="S97" s="1">
        <v>3</v>
      </c>
      <c r="T97" s="1">
        <v>0</v>
      </c>
      <c r="U97" s="1">
        <v>1</v>
      </c>
      <c r="V97" s="1">
        <v>1</v>
      </c>
    </row>
    <row r="98" spans="1:22" ht="22.05" customHeight="1" x14ac:dyDescent="0.3">
      <c r="A98" s="1" t="s">
        <v>159</v>
      </c>
      <c r="B98" s="1">
        <v>7</v>
      </c>
      <c r="C98" s="1">
        <v>5</v>
      </c>
      <c r="D98" s="1">
        <v>4</v>
      </c>
      <c r="E98" s="1">
        <v>5</v>
      </c>
      <c r="F98" s="1">
        <v>4</v>
      </c>
      <c r="G98" s="1">
        <v>4</v>
      </c>
      <c r="H98" s="1">
        <v>4</v>
      </c>
      <c r="I98" s="1">
        <v>5</v>
      </c>
      <c r="J98" s="1">
        <v>4</v>
      </c>
      <c r="K98" s="1">
        <v>5</v>
      </c>
      <c r="L98" s="1">
        <v>4</v>
      </c>
      <c r="M98" s="1">
        <v>4</v>
      </c>
      <c r="N98" s="1">
        <v>3</v>
      </c>
      <c r="O98" s="3">
        <v>46232.756944444453</v>
      </c>
      <c r="P98" s="3">
        <v>46232.76458333333</v>
      </c>
      <c r="Q98" s="1">
        <v>5</v>
      </c>
      <c r="R98" s="1">
        <v>2</v>
      </c>
      <c r="S98" s="1">
        <v>8</v>
      </c>
      <c r="T98" s="1">
        <v>1</v>
      </c>
      <c r="U98" s="1">
        <v>1</v>
      </c>
      <c r="V98" s="1">
        <v>1</v>
      </c>
    </row>
    <row r="99" spans="1:22" ht="22.05" customHeight="1" x14ac:dyDescent="0.3">
      <c r="A99" s="1" t="s">
        <v>160</v>
      </c>
      <c r="B99" s="1">
        <v>9</v>
      </c>
      <c r="C99" s="1">
        <v>4</v>
      </c>
      <c r="D99" s="1">
        <v>4</v>
      </c>
      <c r="E99" s="1">
        <v>3</v>
      </c>
      <c r="F99" s="1">
        <v>3</v>
      </c>
      <c r="G99" s="1">
        <v>4</v>
      </c>
      <c r="H99" s="1">
        <v>4</v>
      </c>
      <c r="I99" s="1">
        <v>4</v>
      </c>
      <c r="J99" s="1">
        <v>3</v>
      </c>
      <c r="K99" s="1">
        <v>3</v>
      </c>
      <c r="L99" s="1">
        <v>4</v>
      </c>
      <c r="M99" s="1">
        <v>3</v>
      </c>
      <c r="N99" s="1">
        <v>5</v>
      </c>
      <c r="O99" s="3">
        <v>46231.445138888892</v>
      </c>
      <c r="P99" s="3">
        <v>46231.453472222223</v>
      </c>
      <c r="Q99" s="1">
        <v>5</v>
      </c>
      <c r="R99" s="1">
        <v>1</v>
      </c>
      <c r="S99" s="1">
        <v>7</v>
      </c>
      <c r="T99" s="1">
        <v>1</v>
      </c>
      <c r="U99" s="1">
        <v>1</v>
      </c>
      <c r="V99" s="1">
        <v>1</v>
      </c>
    </row>
    <row r="100" spans="1:22" ht="22.05" customHeight="1" x14ac:dyDescent="0.3">
      <c r="A100" s="1" t="s">
        <v>161</v>
      </c>
      <c r="B100" s="1">
        <v>4</v>
      </c>
      <c r="C100" s="1">
        <v>3</v>
      </c>
      <c r="D100" s="1">
        <v>3</v>
      </c>
      <c r="E100" s="1">
        <v>2</v>
      </c>
      <c r="F100" s="1">
        <v>1</v>
      </c>
      <c r="G100" s="1">
        <v>4</v>
      </c>
      <c r="H100" s="1">
        <v>3</v>
      </c>
      <c r="I100" s="1">
        <v>3</v>
      </c>
      <c r="J100" s="1">
        <v>3</v>
      </c>
      <c r="K100" s="1">
        <v>3</v>
      </c>
      <c r="L100" s="1">
        <v>2</v>
      </c>
      <c r="M100" s="1">
        <v>2</v>
      </c>
      <c r="N100" s="1">
        <v>5</v>
      </c>
      <c r="O100" s="3">
        <v>46223.53402777778</v>
      </c>
      <c r="P100" s="3">
        <v>46223.542361111111</v>
      </c>
      <c r="Q100" s="1">
        <v>5</v>
      </c>
      <c r="R100" s="1">
        <v>2</v>
      </c>
      <c r="S100" s="1">
        <v>2</v>
      </c>
      <c r="T100" s="1">
        <v>0</v>
      </c>
      <c r="U100" s="1">
        <v>0</v>
      </c>
      <c r="V100" s="1">
        <v>1</v>
      </c>
    </row>
    <row r="101" spans="1:22" ht="22.05" customHeight="1" x14ac:dyDescent="0.3">
      <c r="A101" s="1" t="s">
        <v>162</v>
      </c>
      <c r="B101" s="1">
        <v>8</v>
      </c>
      <c r="C101" s="1">
        <v>5</v>
      </c>
      <c r="D101" s="1">
        <v>4</v>
      </c>
      <c r="E101" s="1">
        <v>4</v>
      </c>
      <c r="F101" s="1">
        <v>4</v>
      </c>
      <c r="G101" s="1">
        <v>3</v>
      </c>
      <c r="H101" s="1">
        <v>4</v>
      </c>
      <c r="I101" s="1">
        <v>3</v>
      </c>
      <c r="J101" s="1">
        <v>5</v>
      </c>
      <c r="K101" s="1">
        <v>3</v>
      </c>
      <c r="L101" s="1">
        <v>4</v>
      </c>
      <c r="M101" s="1">
        <v>4</v>
      </c>
      <c r="N101" s="1">
        <v>3</v>
      </c>
      <c r="O101" s="3">
        <v>46228.375694444447</v>
      </c>
      <c r="P101" s="3">
        <v>46228.381944444453</v>
      </c>
      <c r="Q101" s="1">
        <v>4</v>
      </c>
      <c r="R101" s="1">
        <v>0</v>
      </c>
      <c r="S101" s="1">
        <v>8</v>
      </c>
      <c r="T101" s="1">
        <v>1</v>
      </c>
      <c r="U101" s="1">
        <v>1</v>
      </c>
      <c r="V101" s="1">
        <v>1</v>
      </c>
    </row>
  </sheetData>
  <autoFilter ref="A1:V101" xr:uid="{00000000-0009-0000-0000-000001000000}"/>
  <conditionalFormatting sqref="B2:B101">
    <cfRule type="colorScale" priority="1">
      <colorScale>
        <cfvo type="num" val="0"/>
        <cfvo type="num" val="7"/>
        <cfvo type="num" val="10"/>
        <color rgb="FFF4CCCC"/>
        <color rgb="FFFFF2CC"/>
        <color rgb="FFD9EAD3"/>
      </colorScale>
    </cfRule>
  </conditionalFormatting>
  <conditionalFormatting sqref="C2:C101">
    <cfRule type="colorScale" priority="2">
      <colorScale>
        <cfvo type="num" val="1"/>
        <cfvo type="num" val="3"/>
        <cfvo type="num" val="5"/>
        <color rgb="FFF4CCCC"/>
        <color rgb="FFFFF2CC"/>
        <color rgb="FFD9EAD3"/>
      </colorScale>
    </cfRule>
  </conditionalFormatting>
  <conditionalFormatting sqref="M2:M101">
    <cfRule type="colorScale" priority="3">
      <colorScale>
        <cfvo type="num" val="1"/>
        <cfvo type="num" val="3"/>
        <cfvo type="num" val="5"/>
        <color rgb="FFF4CCCC"/>
        <color rgb="FFFFF2CC"/>
        <color rgb="FFD9EAD3"/>
      </colorScale>
    </cfRule>
  </conditionalFormatting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6735F-AD16-4E83-AA01-C7F5944E5A18}">
  <dimension ref="A1:AA101"/>
  <sheetViews>
    <sheetView tabSelected="1" topLeftCell="V1" workbookViewId="0">
      <selection activeCell="AA2" sqref="AA2"/>
    </sheetView>
  </sheetViews>
  <sheetFormatPr defaultRowHeight="14.4" x14ac:dyDescent="0.3"/>
  <cols>
    <col min="1" max="1" width="7.5546875" bestFit="1" customWidth="1"/>
    <col min="2" max="2" width="8.33203125" bestFit="1" customWidth="1"/>
    <col min="3" max="3" width="10.6640625" customWidth="1"/>
    <col min="4" max="4" width="15.6640625" customWidth="1"/>
    <col min="5" max="13" width="7.6640625" bestFit="1" customWidth="1"/>
    <col min="14" max="14" width="8.6640625" bestFit="1" customWidth="1"/>
    <col min="15" max="15" width="12.21875" customWidth="1"/>
    <col min="16" max="16" width="13.109375" customWidth="1"/>
    <col min="17" max="17" width="17.77734375" customWidth="1"/>
    <col min="18" max="18" width="17.33203125" customWidth="1"/>
    <col min="19" max="19" width="16.109375" bestFit="1" customWidth="1"/>
    <col min="20" max="20" width="13.77734375" customWidth="1"/>
    <col min="21" max="21" width="5.88671875" bestFit="1" customWidth="1"/>
    <col min="22" max="22" width="8" bestFit="1" customWidth="1"/>
    <col min="23" max="24" width="12.88671875" customWidth="1"/>
    <col min="25" max="25" width="15" customWidth="1"/>
    <col min="26" max="26" width="21.21875" customWidth="1"/>
    <col min="27" max="27" width="14.44140625" customWidth="1"/>
  </cols>
  <sheetData>
    <row r="1" spans="1:27" ht="28.8" x14ac:dyDescent="0.3">
      <c r="A1" s="2" t="s">
        <v>41</v>
      </c>
      <c r="B1" s="2" t="s">
        <v>42</v>
      </c>
      <c r="C1" s="2" t="s">
        <v>163</v>
      </c>
      <c r="D1" s="2" t="s">
        <v>43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49</v>
      </c>
      <c r="K1" s="2" t="s">
        <v>50</v>
      </c>
      <c r="L1" s="2" t="s">
        <v>51</v>
      </c>
      <c r="M1" s="2" t="s">
        <v>52</v>
      </c>
      <c r="N1" s="2" t="s">
        <v>53</v>
      </c>
      <c r="O1" s="2" t="s">
        <v>164</v>
      </c>
      <c r="P1" s="2" t="s">
        <v>54</v>
      </c>
      <c r="Q1" s="2" t="s">
        <v>55</v>
      </c>
      <c r="R1" s="2" t="s">
        <v>56</v>
      </c>
      <c r="S1" s="2" t="s">
        <v>165</v>
      </c>
      <c r="T1" s="2" t="s">
        <v>57</v>
      </c>
      <c r="U1" s="2" t="s">
        <v>58</v>
      </c>
      <c r="V1" s="2" t="s">
        <v>59</v>
      </c>
      <c r="W1" s="2" t="s">
        <v>60</v>
      </c>
      <c r="X1" s="2" t="s">
        <v>61</v>
      </c>
      <c r="Y1" s="2" t="s">
        <v>62</v>
      </c>
      <c r="Z1" s="10" t="s">
        <v>167</v>
      </c>
      <c r="AA1" s="10" t="s">
        <v>166</v>
      </c>
    </row>
    <row r="2" spans="1:27" x14ac:dyDescent="0.3">
      <c r="A2" s="1" t="s">
        <v>63</v>
      </c>
      <c r="B2" s="1">
        <v>7</v>
      </c>
      <c r="C2" s="1" t="str">
        <f>IF(B2&gt;=9,"Detractors",IF(B2&lt;=8,"Passive","Pro"))</f>
        <v>Passive</v>
      </c>
      <c r="D2" s="1">
        <v>4</v>
      </c>
      <c r="E2" s="1">
        <v>3</v>
      </c>
      <c r="F2" s="1">
        <v>2</v>
      </c>
      <c r="G2" s="1">
        <v>3</v>
      </c>
      <c r="H2" s="1">
        <v>3</v>
      </c>
      <c r="I2" s="1">
        <v>3</v>
      </c>
      <c r="J2" s="1">
        <v>3</v>
      </c>
      <c r="K2" s="1">
        <v>3</v>
      </c>
      <c r="L2" s="1">
        <v>4</v>
      </c>
      <c r="M2" s="1">
        <v>4</v>
      </c>
      <c r="N2" s="1">
        <v>3</v>
      </c>
      <c r="O2" s="1">
        <f>SUM(E2-1,5-F2,G2-1,5-H2,I2-1,5-J2,K2-1,5-L2,M2-1,5-N2)*2.5</f>
        <v>52.5</v>
      </c>
      <c r="P2" s="1">
        <v>4</v>
      </c>
      <c r="Q2" s="3">
        <v>46224.68472222222</v>
      </c>
      <c r="R2" s="3">
        <v>46224.691666666673</v>
      </c>
      <c r="S2" s="9">
        <f>ROUND(((R2-Q2)*1440), 0)</f>
        <v>10</v>
      </c>
      <c r="T2" s="1">
        <v>6</v>
      </c>
      <c r="U2" s="1">
        <v>2</v>
      </c>
      <c r="V2" s="1">
        <v>8</v>
      </c>
      <c r="W2" s="1">
        <v>1</v>
      </c>
      <c r="X2" s="1">
        <v>1</v>
      </c>
      <c r="Y2" s="1">
        <v>0</v>
      </c>
      <c r="Z2" t="str">
        <f>IF(Y2=1,"Success","Failure")</f>
        <v>Failure</v>
      </c>
      <c r="AA2" t="s">
        <v>168</v>
      </c>
    </row>
    <row r="3" spans="1:27" x14ac:dyDescent="0.3">
      <c r="A3" s="1" t="s">
        <v>64</v>
      </c>
      <c r="B3" s="1">
        <v>5</v>
      </c>
      <c r="C3" s="1" t="str">
        <f t="shared" ref="C3:C66" si="0">IF(B3&gt;=9,"Detractors",IF(B3&lt;=8,"Passive","Pro"))</f>
        <v>Passive</v>
      </c>
      <c r="D3" s="1">
        <v>3</v>
      </c>
      <c r="E3" s="1">
        <v>2</v>
      </c>
      <c r="F3" s="1">
        <v>4</v>
      </c>
      <c r="G3" s="1">
        <v>3</v>
      </c>
      <c r="H3" s="1">
        <v>2</v>
      </c>
      <c r="I3" s="1">
        <v>3</v>
      </c>
      <c r="J3" s="1">
        <v>2</v>
      </c>
      <c r="K3" s="1">
        <v>2</v>
      </c>
      <c r="L3" s="1">
        <v>2</v>
      </c>
      <c r="M3" s="1">
        <v>3</v>
      </c>
      <c r="N3" s="1">
        <v>3</v>
      </c>
      <c r="O3" s="1">
        <f t="shared" ref="O3:O66" si="1">SUM(E3-1,5-F3,G3-1,5-H3,I3-1,5-J3,K3-1,5-L3,M3-1,5-N3)*2.5</f>
        <v>50</v>
      </c>
      <c r="P3" s="1">
        <v>4</v>
      </c>
      <c r="Q3" s="3">
        <v>46213.412499999999</v>
      </c>
      <c r="R3" s="3">
        <v>46213.419444444437</v>
      </c>
      <c r="S3" s="9">
        <f t="shared" ref="S3:S66" si="2">ROUND(((R3-Q3)*1440), 0)</f>
        <v>10</v>
      </c>
      <c r="T3" s="1">
        <v>5</v>
      </c>
      <c r="U3" s="1">
        <v>1</v>
      </c>
      <c r="V3" s="1">
        <v>7</v>
      </c>
      <c r="W3" s="1">
        <v>1</v>
      </c>
      <c r="X3" s="1">
        <v>0</v>
      </c>
      <c r="Y3" s="1">
        <v>1</v>
      </c>
      <c r="Z3" t="str">
        <f t="shared" ref="Z3:Z66" si="3">IF(Y3=1,"Success","Failure")</f>
        <v>Success</v>
      </c>
    </row>
    <row r="4" spans="1:27" x14ac:dyDescent="0.3">
      <c r="A4" s="1" t="s">
        <v>65</v>
      </c>
      <c r="B4" s="1">
        <v>6</v>
      </c>
      <c r="C4" s="1" t="str">
        <f t="shared" si="0"/>
        <v>Passive</v>
      </c>
      <c r="D4" s="1">
        <v>3</v>
      </c>
      <c r="E4" s="1">
        <v>1</v>
      </c>
      <c r="F4" s="1">
        <v>4</v>
      </c>
      <c r="G4" s="1">
        <v>2</v>
      </c>
      <c r="H4" s="1">
        <v>2</v>
      </c>
      <c r="I4" s="1">
        <v>2</v>
      </c>
      <c r="J4" s="1">
        <v>2</v>
      </c>
      <c r="K4" s="1">
        <v>3</v>
      </c>
      <c r="L4" s="1">
        <v>2</v>
      </c>
      <c r="M4" s="1">
        <v>3</v>
      </c>
      <c r="N4" s="1">
        <v>3</v>
      </c>
      <c r="O4" s="1">
        <f t="shared" si="1"/>
        <v>45</v>
      </c>
      <c r="P4" s="1">
        <v>4</v>
      </c>
      <c r="Q4" s="3">
        <v>46212.384027777778</v>
      </c>
      <c r="R4" s="3">
        <v>46212.393750000003</v>
      </c>
      <c r="S4" s="9">
        <f t="shared" si="2"/>
        <v>14</v>
      </c>
      <c r="T4" s="1">
        <v>4</v>
      </c>
      <c r="U4" s="1">
        <v>1</v>
      </c>
      <c r="V4" s="1">
        <v>4</v>
      </c>
      <c r="W4" s="1">
        <v>1</v>
      </c>
      <c r="X4" s="1">
        <v>0</v>
      </c>
      <c r="Y4" s="1">
        <v>1</v>
      </c>
      <c r="Z4" t="str">
        <f t="shared" si="3"/>
        <v>Success</v>
      </c>
    </row>
    <row r="5" spans="1:27" x14ac:dyDescent="0.3">
      <c r="A5" s="1" t="s">
        <v>66</v>
      </c>
      <c r="B5" s="1">
        <v>6</v>
      </c>
      <c r="C5" s="1" t="str">
        <f t="shared" si="0"/>
        <v>Passive</v>
      </c>
      <c r="D5" s="1">
        <v>3</v>
      </c>
      <c r="E5" s="1">
        <v>3</v>
      </c>
      <c r="F5" s="1">
        <v>3</v>
      </c>
      <c r="G5" s="1">
        <v>3</v>
      </c>
      <c r="H5" s="1">
        <v>2</v>
      </c>
      <c r="I5" s="1">
        <v>3</v>
      </c>
      <c r="J5" s="1">
        <v>3</v>
      </c>
      <c r="K5" s="1">
        <v>3</v>
      </c>
      <c r="L5" s="1">
        <v>3</v>
      </c>
      <c r="M5" s="1">
        <v>4</v>
      </c>
      <c r="N5" s="1">
        <v>2</v>
      </c>
      <c r="O5" s="1">
        <f t="shared" si="1"/>
        <v>57.5</v>
      </c>
      <c r="P5" s="1">
        <v>4</v>
      </c>
      <c r="Q5" s="3">
        <v>46223.647916666669</v>
      </c>
      <c r="R5" s="3">
        <v>46223.654166666667</v>
      </c>
      <c r="S5" s="9">
        <f t="shared" si="2"/>
        <v>9</v>
      </c>
      <c r="T5" s="1">
        <v>5</v>
      </c>
      <c r="U5" s="1">
        <v>1</v>
      </c>
      <c r="V5" s="1">
        <v>8</v>
      </c>
      <c r="W5" s="1">
        <v>1</v>
      </c>
      <c r="X5" s="1">
        <v>1</v>
      </c>
      <c r="Y5" s="1">
        <v>1</v>
      </c>
      <c r="Z5" t="str">
        <f t="shared" si="3"/>
        <v>Success</v>
      </c>
    </row>
    <row r="6" spans="1:27" x14ac:dyDescent="0.3">
      <c r="A6" s="1" t="s">
        <v>67</v>
      </c>
      <c r="B6" s="1">
        <v>7</v>
      </c>
      <c r="C6" s="1" t="str">
        <f t="shared" si="0"/>
        <v>Passive</v>
      </c>
      <c r="D6" s="1">
        <v>4</v>
      </c>
      <c r="E6" s="1">
        <v>4</v>
      </c>
      <c r="F6" s="1">
        <v>3</v>
      </c>
      <c r="G6" s="1">
        <v>3</v>
      </c>
      <c r="H6" s="1">
        <v>3</v>
      </c>
      <c r="I6" s="1">
        <v>2</v>
      </c>
      <c r="J6" s="1">
        <v>2</v>
      </c>
      <c r="K6" s="1">
        <v>3</v>
      </c>
      <c r="L6" s="1">
        <v>3</v>
      </c>
      <c r="M6" s="1">
        <v>3</v>
      </c>
      <c r="N6" s="1">
        <v>4</v>
      </c>
      <c r="O6" s="1">
        <f t="shared" si="1"/>
        <v>50</v>
      </c>
      <c r="P6" s="1">
        <v>3</v>
      </c>
      <c r="Q6" s="3">
        <v>46228.706944444442</v>
      </c>
      <c r="R6" s="3">
        <v>46228.715277777781</v>
      </c>
      <c r="S6" s="9">
        <f t="shared" si="2"/>
        <v>12</v>
      </c>
      <c r="T6" s="1">
        <v>4</v>
      </c>
      <c r="U6" s="1">
        <v>1</v>
      </c>
      <c r="V6" s="1">
        <v>6</v>
      </c>
      <c r="W6" s="1">
        <v>0</v>
      </c>
      <c r="X6" s="1">
        <v>0</v>
      </c>
      <c r="Y6" s="1">
        <v>1</v>
      </c>
      <c r="Z6" t="str">
        <f t="shared" si="3"/>
        <v>Success</v>
      </c>
    </row>
    <row r="7" spans="1:27" x14ac:dyDescent="0.3">
      <c r="A7" s="1" t="s">
        <v>68</v>
      </c>
      <c r="B7" s="1">
        <v>7</v>
      </c>
      <c r="C7" s="1" t="str">
        <f t="shared" si="0"/>
        <v>Passive</v>
      </c>
      <c r="D7" s="1">
        <v>4</v>
      </c>
      <c r="E7" s="1">
        <v>2</v>
      </c>
      <c r="F7" s="1">
        <v>4</v>
      </c>
      <c r="G7" s="1">
        <v>4</v>
      </c>
      <c r="H7" s="1">
        <v>3</v>
      </c>
      <c r="I7" s="1">
        <v>3</v>
      </c>
      <c r="J7" s="1">
        <v>4</v>
      </c>
      <c r="K7" s="1">
        <v>3</v>
      </c>
      <c r="L7" s="1">
        <v>4</v>
      </c>
      <c r="M7" s="1">
        <v>4</v>
      </c>
      <c r="N7" s="1">
        <v>3</v>
      </c>
      <c r="O7" s="1">
        <f t="shared" si="1"/>
        <v>45</v>
      </c>
      <c r="P7" s="1">
        <v>4</v>
      </c>
      <c r="Q7" s="3">
        <v>46213.612500000003</v>
      </c>
      <c r="R7" s="3">
        <v>46213.616666666669</v>
      </c>
      <c r="S7" s="9">
        <f t="shared" si="2"/>
        <v>6</v>
      </c>
      <c r="T7" s="1">
        <v>3</v>
      </c>
      <c r="U7" s="1">
        <v>2</v>
      </c>
      <c r="V7" s="1">
        <v>5</v>
      </c>
      <c r="W7" s="1">
        <v>1</v>
      </c>
      <c r="X7" s="1">
        <v>1</v>
      </c>
      <c r="Y7" s="1">
        <v>1</v>
      </c>
      <c r="Z7" t="str">
        <f t="shared" si="3"/>
        <v>Success</v>
      </c>
    </row>
    <row r="8" spans="1:27" x14ac:dyDescent="0.3">
      <c r="A8" s="1" t="s">
        <v>69</v>
      </c>
      <c r="B8" s="1">
        <v>8</v>
      </c>
      <c r="C8" s="1" t="str">
        <f t="shared" si="0"/>
        <v>Passive</v>
      </c>
      <c r="D8" s="1">
        <v>3</v>
      </c>
      <c r="E8" s="1">
        <v>4</v>
      </c>
      <c r="F8" s="1">
        <v>3</v>
      </c>
      <c r="G8" s="1">
        <v>4</v>
      </c>
      <c r="H8" s="1">
        <v>3</v>
      </c>
      <c r="I8" s="1">
        <v>3</v>
      </c>
      <c r="J8" s="1">
        <v>3</v>
      </c>
      <c r="K8" s="1">
        <v>4</v>
      </c>
      <c r="L8" s="1">
        <v>4</v>
      </c>
      <c r="M8" s="1">
        <v>3</v>
      </c>
      <c r="N8" s="1">
        <v>3</v>
      </c>
      <c r="O8" s="1">
        <f t="shared" si="1"/>
        <v>55</v>
      </c>
      <c r="P8" s="1">
        <v>3</v>
      </c>
      <c r="Q8" s="3">
        <v>46229.660416666673</v>
      </c>
      <c r="R8" s="3">
        <v>46229.665972222218</v>
      </c>
      <c r="S8" s="9">
        <f t="shared" si="2"/>
        <v>8</v>
      </c>
      <c r="T8" s="1">
        <v>5</v>
      </c>
      <c r="U8" s="1">
        <v>1</v>
      </c>
      <c r="V8" s="1">
        <v>4</v>
      </c>
      <c r="W8" s="1">
        <v>1</v>
      </c>
      <c r="X8" s="1">
        <v>1</v>
      </c>
      <c r="Y8" s="1">
        <v>1</v>
      </c>
      <c r="Z8" t="str">
        <f t="shared" si="3"/>
        <v>Success</v>
      </c>
    </row>
    <row r="9" spans="1:27" x14ac:dyDescent="0.3">
      <c r="A9" s="1" t="s">
        <v>70</v>
      </c>
      <c r="B9" s="1">
        <v>8</v>
      </c>
      <c r="C9" s="1" t="str">
        <f t="shared" si="0"/>
        <v>Passive</v>
      </c>
      <c r="D9" s="1">
        <v>4</v>
      </c>
      <c r="E9" s="1">
        <v>3</v>
      </c>
      <c r="F9" s="1">
        <v>4</v>
      </c>
      <c r="G9" s="1">
        <v>4</v>
      </c>
      <c r="H9" s="1">
        <v>3</v>
      </c>
      <c r="I9" s="1">
        <v>3</v>
      </c>
      <c r="J9" s="1">
        <v>4</v>
      </c>
      <c r="K9" s="1">
        <v>2</v>
      </c>
      <c r="L9" s="1">
        <v>4</v>
      </c>
      <c r="M9" s="1">
        <v>4</v>
      </c>
      <c r="N9" s="1">
        <v>3</v>
      </c>
      <c r="O9" s="1">
        <f t="shared" si="1"/>
        <v>45</v>
      </c>
      <c r="P9" s="1">
        <v>3</v>
      </c>
      <c r="Q9" s="3">
        <v>46206.465277777781</v>
      </c>
      <c r="R9" s="3">
        <v>46206.47152777778</v>
      </c>
      <c r="S9" s="9">
        <f t="shared" si="2"/>
        <v>9</v>
      </c>
      <c r="T9" s="1">
        <v>3</v>
      </c>
      <c r="U9" s="1">
        <v>1</v>
      </c>
      <c r="V9" s="1">
        <v>7</v>
      </c>
      <c r="W9" s="1">
        <v>1</v>
      </c>
      <c r="X9" s="1">
        <v>1</v>
      </c>
      <c r="Y9" s="1">
        <v>0</v>
      </c>
      <c r="Z9" t="str">
        <f t="shared" si="3"/>
        <v>Failure</v>
      </c>
    </row>
    <row r="10" spans="1:27" x14ac:dyDescent="0.3">
      <c r="A10" s="1" t="s">
        <v>71</v>
      </c>
      <c r="B10" s="1">
        <v>7</v>
      </c>
      <c r="C10" s="1" t="str">
        <f t="shared" si="0"/>
        <v>Passive</v>
      </c>
      <c r="D10" s="1">
        <v>4</v>
      </c>
      <c r="E10" s="1">
        <v>4</v>
      </c>
      <c r="F10" s="1">
        <v>2</v>
      </c>
      <c r="G10" s="1">
        <v>3</v>
      </c>
      <c r="H10" s="1">
        <v>3</v>
      </c>
      <c r="I10" s="1">
        <v>3</v>
      </c>
      <c r="J10" s="1">
        <v>4</v>
      </c>
      <c r="K10" s="1">
        <v>3</v>
      </c>
      <c r="L10" s="1">
        <v>3</v>
      </c>
      <c r="M10" s="1">
        <v>3</v>
      </c>
      <c r="N10" s="1">
        <v>4</v>
      </c>
      <c r="O10" s="1">
        <f t="shared" si="1"/>
        <v>50</v>
      </c>
      <c r="P10" s="1">
        <v>2</v>
      </c>
      <c r="Q10" s="3">
        <v>46219.706944444442</v>
      </c>
      <c r="R10" s="3">
        <v>46219.713888888888</v>
      </c>
      <c r="S10" s="9">
        <f t="shared" si="2"/>
        <v>10</v>
      </c>
      <c r="T10" s="1">
        <v>4</v>
      </c>
      <c r="U10" s="1">
        <v>2</v>
      </c>
      <c r="V10" s="1">
        <v>6</v>
      </c>
      <c r="W10" s="1">
        <v>1</v>
      </c>
      <c r="X10" s="1">
        <v>0</v>
      </c>
      <c r="Y10" s="1">
        <v>1</v>
      </c>
      <c r="Z10" t="str">
        <f t="shared" si="3"/>
        <v>Success</v>
      </c>
    </row>
    <row r="11" spans="1:27" x14ac:dyDescent="0.3">
      <c r="A11" s="1" t="s">
        <v>72</v>
      </c>
      <c r="B11" s="1">
        <v>5</v>
      </c>
      <c r="C11" s="1" t="str">
        <f t="shared" si="0"/>
        <v>Passive</v>
      </c>
      <c r="D11" s="1">
        <v>3</v>
      </c>
      <c r="E11" s="1">
        <v>3</v>
      </c>
      <c r="F11" s="1">
        <v>1</v>
      </c>
      <c r="G11" s="1">
        <v>3</v>
      </c>
      <c r="H11" s="1">
        <v>3</v>
      </c>
      <c r="I11" s="1">
        <v>4</v>
      </c>
      <c r="J11" s="1">
        <v>3</v>
      </c>
      <c r="K11" s="1">
        <v>3</v>
      </c>
      <c r="L11" s="1">
        <v>2</v>
      </c>
      <c r="M11" s="1">
        <v>2</v>
      </c>
      <c r="N11" s="1">
        <v>2</v>
      </c>
      <c r="O11" s="1">
        <f t="shared" si="1"/>
        <v>60</v>
      </c>
      <c r="P11" s="1">
        <v>3</v>
      </c>
      <c r="Q11" s="3">
        <v>46206.353472222218</v>
      </c>
      <c r="R11" s="3">
        <v>46206.364583333343</v>
      </c>
      <c r="S11" s="9">
        <f t="shared" si="2"/>
        <v>16</v>
      </c>
      <c r="T11" s="1">
        <v>4</v>
      </c>
      <c r="U11" s="1">
        <v>2</v>
      </c>
      <c r="V11" s="1">
        <v>3</v>
      </c>
      <c r="W11" s="1">
        <v>1</v>
      </c>
      <c r="X11" s="1">
        <v>1</v>
      </c>
      <c r="Y11" s="1">
        <v>1</v>
      </c>
      <c r="Z11" t="str">
        <f t="shared" si="3"/>
        <v>Success</v>
      </c>
    </row>
    <row r="12" spans="1:27" x14ac:dyDescent="0.3">
      <c r="A12" s="1" t="s">
        <v>73</v>
      </c>
      <c r="B12" s="1">
        <v>8</v>
      </c>
      <c r="C12" s="1" t="str">
        <f t="shared" si="0"/>
        <v>Passive</v>
      </c>
      <c r="D12" s="1">
        <v>3</v>
      </c>
      <c r="E12" s="1">
        <v>4</v>
      </c>
      <c r="F12" s="1">
        <v>3</v>
      </c>
      <c r="G12" s="1">
        <v>2</v>
      </c>
      <c r="H12" s="1">
        <v>3</v>
      </c>
      <c r="I12" s="1">
        <v>2</v>
      </c>
      <c r="J12" s="1">
        <v>3</v>
      </c>
      <c r="K12" s="1">
        <v>4</v>
      </c>
      <c r="L12" s="1">
        <v>4</v>
      </c>
      <c r="M12" s="1">
        <v>3</v>
      </c>
      <c r="N12" s="1">
        <v>4</v>
      </c>
      <c r="O12" s="1">
        <f t="shared" si="1"/>
        <v>45</v>
      </c>
      <c r="P12" s="1">
        <v>4</v>
      </c>
      <c r="Q12" s="3">
        <v>46227.67291666667</v>
      </c>
      <c r="R12" s="3">
        <v>46227.679166666669</v>
      </c>
      <c r="S12" s="9">
        <f t="shared" si="2"/>
        <v>9</v>
      </c>
      <c r="T12" s="1">
        <v>7</v>
      </c>
      <c r="U12" s="1">
        <v>2</v>
      </c>
      <c r="V12" s="1">
        <v>8</v>
      </c>
      <c r="W12" s="1">
        <v>1</v>
      </c>
      <c r="X12" s="1">
        <v>1</v>
      </c>
      <c r="Y12" s="1">
        <v>1</v>
      </c>
      <c r="Z12" t="str">
        <f t="shared" si="3"/>
        <v>Success</v>
      </c>
    </row>
    <row r="13" spans="1:27" x14ac:dyDescent="0.3">
      <c r="A13" s="1" t="s">
        <v>74</v>
      </c>
      <c r="B13" s="1">
        <v>5</v>
      </c>
      <c r="C13" s="1" t="str">
        <f t="shared" si="0"/>
        <v>Passive</v>
      </c>
      <c r="D13" s="1">
        <v>3</v>
      </c>
      <c r="E13" s="1">
        <v>2</v>
      </c>
      <c r="F13" s="1">
        <v>2</v>
      </c>
      <c r="G13" s="1">
        <v>2</v>
      </c>
      <c r="H13" s="1">
        <v>4</v>
      </c>
      <c r="I13" s="1">
        <v>3</v>
      </c>
      <c r="J13" s="1">
        <v>3</v>
      </c>
      <c r="K13" s="1">
        <v>2</v>
      </c>
      <c r="L13" s="1">
        <v>3</v>
      </c>
      <c r="M13" s="1">
        <v>2</v>
      </c>
      <c r="N13" s="1">
        <v>3</v>
      </c>
      <c r="O13" s="1">
        <f t="shared" si="1"/>
        <v>40</v>
      </c>
      <c r="P13" s="1">
        <v>5</v>
      </c>
      <c r="Q13" s="3">
        <v>46213.581250000003</v>
      </c>
      <c r="R13" s="3">
        <v>46213.59097222222</v>
      </c>
      <c r="S13" s="9">
        <f t="shared" si="2"/>
        <v>14</v>
      </c>
      <c r="T13" s="1">
        <v>9</v>
      </c>
      <c r="U13" s="1">
        <v>1</v>
      </c>
      <c r="V13" s="1">
        <v>1</v>
      </c>
      <c r="W13" s="1">
        <v>0</v>
      </c>
      <c r="X13" s="1">
        <v>1</v>
      </c>
      <c r="Y13" s="1">
        <v>1</v>
      </c>
      <c r="Z13" t="str">
        <f t="shared" si="3"/>
        <v>Success</v>
      </c>
    </row>
    <row r="14" spans="1:27" x14ac:dyDescent="0.3">
      <c r="A14" s="1" t="s">
        <v>75</v>
      </c>
      <c r="B14" s="1">
        <v>7</v>
      </c>
      <c r="C14" s="1" t="str">
        <f t="shared" si="0"/>
        <v>Passive</v>
      </c>
      <c r="D14" s="1">
        <v>4</v>
      </c>
      <c r="E14" s="1">
        <v>4</v>
      </c>
      <c r="F14" s="1">
        <v>3</v>
      </c>
      <c r="G14" s="1">
        <v>3</v>
      </c>
      <c r="H14" s="1">
        <v>4</v>
      </c>
      <c r="I14" s="1">
        <v>3</v>
      </c>
      <c r="J14" s="1">
        <v>3</v>
      </c>
      <c r="K14" s="1">
        <v>4</v>
      </c>
      <c r="L14" s="1">
        <v>4</v>
      </c>
      <c r="M14" s="1">
        <v>3</v>
      </c>
      <c r="N14" s="1">
        <v>3</v>
      </c>
      <c r="O14" s="1">
        <f t="shared" si="1"/>
        <v>50</v>
      </c>
      <c r="P14" s="1">
        <v>4</v>
      </c>
      <c r="Q14" s="3">
        <v>46219.466666666667</v>
      </c>
      <c r="R14" s="3">
        <v>46219.473611111112</v>
      </c>
      <c r="S14" s="9">
        <f t="shared" si="2"/>
        <v>10</v>
      </c>
      <c r="T14" s="1">
        <v>3</v>
      </c>
      <c r="U14" s="1">
        <v>1</v>
      </c>
      <c r="V14" s="1">
        <v>8</v>
      </c>
      <c r="W14" s="1">
        <v>1</v>
      </c>
      <c r="X14" s="1">
        <v>0</v>
      </c>
      <c r="Y14" s="1">
        <v>0</v>
      </c>
      <c r="Z14" t="str">
        <f t="shared" si="3"/>
        <v>Failure</v>
      </c>
    </row>
    <row r="15" spans="1:27" x14ac:dyDescent="0.3">
      <c r="A15" s="1" t="s">
        <v>76</v>
      </c>
      <c r="B15" s="1">
        <v>9</v>
      </c>
      <c r="C15" s="1" t="str">
        <f t="shared" si="0"/>
        <v>Detractors</v>
      </c>
      <c r="D15" s="1">
        <v>5</v>
      </c>
      <c r="E15" s="1">
        <v>5</v>
      </c>
      <c r="F15" s="1">
        <v>3</v>
      </c>
      <c r="G15" s="1">
        <v>4</v>
      </c>
      <c r="H15" s="1">
        <v>5</v>
      </c>
      <c r="I15" s="1">
        <v>5</v>
      </c>
      <c r="J15" s="1">
        <v>5</v>
      </c>
      <c r="K15" s="1">
        <v>5</v>
      </c>
      <c r="L15" s="1">
        <v>4</v>
      </c>
      <c r="M15" s="1">
        <v>4</v>
      </c>
      <c r="N15" s="1">
        <v>3</v>
      </c>
      <c r="O15" s="1">
        <f t="shared" si="1"/>
        <v>57.5</v>
      </c>
      <c r="P15" s="1">
        <v>1</v>
      </c>
      <c r="Q15" s="3">
        <v>46214.609722222223</v>
      </c>
      <c r="R15" s="3">
        <v>46214.614583333343</v>
      </c>
      <c r="S15" s="9">
        <f t="shared" si="2"/>
        <v>7</v>
      </c>
      <c r="T15" s="1">
        <v>4</v>
      </c>
      <c r="U15" s="1">
        <v>1</v>
      </c>
      <c r="V15" s="1">
        <v>8</v>
      </c>
      <c r="W15" s="1">
        <v>1</v>
      </c>
      <c r="X15" s="1">
        <v>1</v>
      </c>
      <c r="Y15" s="1">
        <v>1</v>
      </c>
      <c r="Z15" t="str">
        <f t="shared" si="3"/>
        <v>Success</v>
      </c>
    </row>
    <row r="16" spans="1:27" x14ac:dyDescent="0.3">
      <c r="A16" s="1" t="s">
        <v>77</v>
      </c>
      <c r="B16" s="1">
        <v>9</v>
      </c>
      <c r="C16" s="1" t="str">
        <f t="shared" si="0"/>
        <v>Detractors</v>
      </c>
      <c r="D16" s="1">
        <v>5</v>
      </c>
      <c r="E16" s="1">
        <v>5</v>
      </c>
      <c r="F16" s="1">
        <v>4</v>
      </c>
      <c r="G16" s="1">
        <v>4</v>
      </c>
      <c r="H16" s="1">
        <v>4</v>
      </c>
      <c r="I16" s="1">
        <v>5</v>
      </c>
      <c r="J16" s="1">
        <v>5</v>
      </c>
      <c r="K16" s="1">
        <v>3</v>
      </c>
      <c r="L16" s="1">
        <v>4</v>
      </c>
      <c r="M16" s="1">
        <v>4</v>
      </c>
      <c r="N16" s="1">
        <v>5</v>
      </c>
      <c r="O16" s="1">
        <f t="shared" si="1"/>
        <v>47.5</v>
      </c>
      <c r="P16" s="1">
        <v>3</v>
      </c>
      <c r="Q16" s="3">
        <v>46221.425000000003</v>
      </c>
      <c r="R16" s="3">
        <v>46221.426388888889</v>
      </c>
      <c r="S16" s="9">
        <f t="shared" si="2"/>
        <v>2</v>
      </c>
      <c r="T16" s="1">
        <v>5</v>
      </c>
      <c r="U16" s="1">
        <v>0</v>
      </c>
      <c r="V16" s="1">
        <v>11</v>
      </c>
      <c r="W16" s="1">
        <v>1</v>
      </c>
      <c r="X16" s="1">
        <v>1</v>
      </c>
      <c r="Y16" s="1">
        <v>1</v>
      </c>
      <c r="Z16" t="str">
        <f t="shared" si="3"/>
        <v>Success</v>
      </c>
    </row>
    <row r="17" spans="1:26" x14ac:dyDescent="0.3">
      <c r="A17" s="1" t="s">
        <v>78</v>
      </c>
      <c r="B17" s="1">
        <v>6</v>
      </c>
      <c r="C17" s="1" t="str">
        <f t="shared" si="0"/>
        <v>Passive</v>
      </c>
      <c r="D17" s="1">
        <v>4</v>
      </c>
      <c r="E17" s="1">
        <v>4</v>
      </c>
      <c r="F17" s="1">
        <v>4</v>
      </c>
      <c r="G17" s="1">
        <v>3</v>
      </c>
      <c r="H17" s="1">
        <v>3</v>
      </c>
      <c r="I17" s="1">
        <v>3</v>
      </c>
      <c r="J17" s="1">
        <v>2</v>
      </c>
      <c r="K17" s="1">
        <v>3</v>
      </c>
      <c r="L17" s="1">
        <v>3</v>
      </c>
      <c r="M17" s="1">
        <v>4</v>
      </c>
      <c r="N17" s="1">
        <v>3</v>
      </c>
      <c r="O17" s="1">
        <f t="shared" si="1"/>
        <v>55</v>
      </c>
      <c r="P17" s="1">
        <v>4</v>
      </c>
      <c r="Q17" s="3">
        <v>46211.464583333327</v>
      </c>
      <c r="R17" s="3">
        <v>46211.467361111107</v>
      </c>
      <c r="S17" s="9">
        <f t="shared" si="2"/>
        <v>4</v>
      </c>
      <c r="T17" s="1">
        <v>6</v>
      </c>
      <c r="U17" s="1">
        <v>2</v>
      </c>
      <c r="V17" s="1">
        <v>6</v>
      </c>
      <c r="W17" s="1">
        <v>1</v>
      </c>
      <c r="X17" s="1">
        <v>1</v>
      </c>
      <c r="Y17" s="1">
        <v>1</v>
      </c>
      <c r="Z17" t="str">
        <f t="shared" si="3"/>
        <v>Success</v>
      </c>
    </row>
    <row r="18" spans="1:26" x14ac:dyDescent="0.3">
      <c r="A18" s="1" t="s">
        <v>79</v>
      </c>
      <c r="B18" s="1">
        <v>4</v>
      </c>
      <c r="C18" s="1" t="str">
        <f t="shared" si="0"/>
        <v>Passive</v>
      </c>
      <c r="D18" s="1">
        <v>3</v>
      </c>
      <c r="E18" s="1">
        <v>3</v>
      </c>
      <c r="F18" s="1">
        <v>2</v>
      </c>
      <c r="G18" s="1">
        <v>3</v>
      </c>
      <c r="H18" s="1">
        <v>3</v>
      </c>
      <c r="I18" s="1">
        <v>2</v>
      </c>
      <c r="J18" s="1">
        <v>2</v>
      </c>
      <c r="K18" s="1">
        <v>2</v>
      </c>
      <c r="L18" s="1">
        <v>3</v>
      </c>
      <c r="M18" s="1">
        <v>1</v>
      </c>
      <c r="N18" s="1">
        <v>2</v>
      </c>
      <c r="O18" s="1">
        <f t="shared" si="1"/>
        <v>47.5</v>
      </c>
      <c r="P18" s="1">
        <v>4</v>
      </c>
      <c r="Q18" s="3">
        <v>46225.690972222219</v>
      </c>
      <c r="R18" s="3">
        <v>46225.696527777778</v>
      </c>
      <c r="S18" s="9">
        <f t="shared" si="2"/>
        <v>8</v>
      </c>
      <c r="T18" s="1">
        <v>4</v>
      </c>
      <c r="U18" s="1">
        <v>0</v>
      </c>
      <c r="V18" s="1">
        <v>4</v>
      </c>
      <c r="W18" s="1">
        <v>0</v>
      </c>
      <c r="X18" s="1">
        <v>0</v>
      </c>
      <c r="Y18" s="1">
        <v>1</v>
      </c>
      <c r="Z18" t="str">
        <f t="shared" si="3"/>
        <v>Success</v>
      </c>
    </row>
    <row r="19" spans="1:26" x14ac:dyDescent="0.3">
      <c r="A19" s="1" t="s">
        <v>80</v>
      </c>
      <c r="B19" s="1">
        <v>5</v>
      </c>
      <c r="C19" s="1" t="str">
        <f t="shared" si="0"/>
        <v>Passive</v>
      </c>
      <c r="D19" s="1">
        <v>3</v>
      </c>
      <c r="E19" s="1">
        <v>2</v>
      </c>
      <c r="F19" s="1">
        <v>2</v>
      </c>
      <c r="G19" s="1">
        <v>2</v>
      </c>
      <c r="H19" s="1">
        <v>2</v>
      </c>
      <c r="I19" s="1">
        <v>3</v>
      </c>
      <c r="J19" s="1">
        <v>2</v>
      </c>
      <c r="K19" s="1">
        <v>3</v>
      </c>
      <c r="L19" s="1">
        <v>2</v>
      </c>
      <c r="M19" s="1">
        <v>3</v>
      </c>
      <c r="N19" s="1">
        <v>3</v>
      </c>
      <c r="O19" s="1">
        <f t="shared" si="1"/>
        <v>55</v>
      </c>
      <c r="P19" s="1">
        <v>4</v>
      </c>
      <c r="Q19" s="3">
        <v>46226.447916666657</v>
      </c>
      <c r="R19" s="3">
        <v>46226.457638888889</v>
      </c>
      <c r="S19" s="9">
        <f t="shared" si="2"/>
        <v>14</v>
      </c>
      <c r="T19" s="1">
        <v>6</v>
      </c>
      <c r="U19" s="1">
        <v>1</v>
      </c>
      <c r="V19" s="1">
        <v>6</v>
      </c>
      <c r="W19" s="1">
        <v>0</v>
      </c>
      <c r="X19" s="1">
        <v>1</v>
      </c>
      <c r="Y19" s="1">
        <v>0</v>
      </c>
      <c r="Z19" t="str">
        <f t="shared" si="3"/>
        <v>Failure</v>
      </c>
    </row>
    <row r="20" spans="1:26" x14ac:dyDescent="0.3">
      <c r="A20" s="1" t="s">
        <v>81</v>
      </c>
      <c r="B20" s="1">
        <v>5</v>
      </c>
      <c r="C20" s="1" t="str">
        <f t="shared" si="0"/>
        <v>Passive</v>
      </c>
      <c r="D20" s="1">
        <v>3</v>
      </c>
      <c r="E20" s="1">
        <v>1</v>
      </c>
      <c r="F20" s="1">
        <v>3</v>
      </c>
      <c r="G20" s="1">
        <v>3</v>
      </c>
      <c r="H20" s="1">
        <v>2</v>
      </c>
      <c r="I20" s="1">
        <v>2</v>
      </c>
      <c r="J20" s="1">
        <v>1</v>
      </c>
      <c r="K20" s="1">
        <v>3</v>
      </c>
      <c r="L20" s="1">
        <v>2</v>
      </c>
      <c r="M20" s="1">
        <v>2</v>
      </c>
      <c r="N20" s="1">
        <v>3</v>
      </c>
      <c r="O20" s="1">
        <f t="shared" si="1"/>
        <v>50</v>
      </c>
      <c r="P20" s="1">
        <v>4</v>
      </c>
      <c r="Q20" s="3">
        <v>46216.570833333331</v>
      </c>
      <c r="R20" s="3">
        <v>46216.578472222223</v>
      </c>
      <c r="S20" s="9">
        <f t="shared" si="2"/>
        <v>11</v>
      </c>
      <c r="T20" s="1">
        <v>4</v>
      </c>
      <c r="U20" s="1">
        <v>2</v>
      </c>
      <c r="V20" s="1">
        <v>6</v>
      </c>
      <c r="W20" s="1">
        <v>1</v>
      </c>
      <c r="X20" s="1">
        <v>1</v>
      </c>
      <c r="Y20" s="1">
        <v>1</v>
      </c>
      <c r="Z20" t="str">
        <f t="shared" si="3"/>
        <v>Success</v>
      </c>
    </row>
    <row r="21" spans="1:26" x14ac:dyDescent="0.3">
      <c r="A21" s="1" t="s">
        <v>82</v>
      </c>
      <c r="B21" s="1">
        <v>10</v>
      </c>
      <c r="C21" s="1" t="str">
        <f t="shared" si="0"/>
        <v>Detractors</v>
      </c>
      <c r="D21" s="1">
        <v>5</v>
      </c>
      <c r="E21" s="1">
        <v>4</v>
      </c>
      <c r="F21" s="1">
        <v>4</v>
      </c>
      <c r="G21" s="1">
        <v>5</v>
      </c>
      <c r="H21" s="1">
        <v>4</v>
      </c>
      <c r="I21" s="1">
        <v>4</v>
      </c>
      <c r="J21" s="1">
        <v>4</v>
      </c>
      <c r="K21" s="1">
        <v>3</v>
      </c>
      <c r="L21" s="1">
        <v>4</v>
      </c>
      <c r="M21" s="1">
        <v>4</v>
      </c>
      <c r="N21" s="1">
        <v>5</v>
      </c>
      <c r="O21" s="1">
        <f t="shared" si="1"/>
        <v>47.5</v>
      </c>
      <c r="P21" s="1">
        <v>3</v>
      </c>
      <c r="Q21" s="3">
        <v>46215.486805555563</v>
      </c>
      <c r="R21" s="3">
        <v>46215.490277777782</v>
      </c>
      <c r="S21" s="9">
        <f t="shared" si="2"/>
        <v>5</v>
      </c>
      <c r="T21" s="1">
        <v>7</v>
      </c>
      <c r="U21" s="1">
        <v>2</v>
      </c>
      <c r="V21" s="1">
        <v>11</v>
      </c>
      <c r="W21" s="1">
        <v>1</v>
      </c>
      <c r="X21" s="1">
        <v>0</v>
      </c>
      <c r="Y21" s="1">
        <v>1</v>
      </c>
      <c r="Z21" t="str">
        <f t="shared" si="3"/>
        <v>Success</v>
      </c>
    </row>
    <row r="22" spans="1:26" x14ac:dyDescent="0.3">
      <c r="A22" s="1" t="s">
        <v>83</v>
      </c>
      <c r="B22" s="1">
        <v>8</v>
      </c>
      <c r="C22" s="1" t="str">
        <f t="shared" si="0"/>
        <v>Passive</v>
      </c>
      <c r="D22" s="1">
        <v>3</v>
      </c>
      <c r="E22" s="1">
        <v>3</v>
      </c>
      <c r="F22" s="1">
        <v>2</v>
      </c>
      <c r="G22" s="1">
        <v>3</v>
      </c>
      <c r="H22" s="1">
        <v>4</v>
      </c>
      <c r="I22" s="1">
        <v>2</v>
      </c>
      <c r="J22" s="1">
        <v>2</v>
      </c>
      <c r="K22" s="1">
        <v>2</v>
      </c>
      <c r="L22" s="1">
        <v>3</v>
      </c>
      <c r="M22" s="1">
        <v>2</v>
      </c>
      <c r="N22" s="1">
        <v>4</v>
      </c>
      <c r="O22" s="1">
        <f t="shared" si="1"/>
        <v>42.5</v>
      </c>
      <c r="P22" s="1">
        <v>3</v>
      </c>
      <c r="Q22" s="3">
        <v>46210.400694444441</v>
      </c>
      <c r="R22" s="3">
        <v>46210.405555555553</v>
      </c>
      <c r="S22" s="9">
        <f t="shared" si="2"/>
        <v>7</v>
      </c>
      <c r="T22" s="1">
        <v>3</v>
      </c>
      <c r="U22" s="1">
        <v>1</v>
      </c>
      <c r="V22" s="1">
        <v>5</v>
      </c>
      <c r="W22" s="1">
        <v>0</v>
      </c>
      <c r="X22" s="1">
        <v>0</v>
      </c>
      <c r="Y22" s="1">
        <v>1</v>
      </c>
      <c r="Z22" t="str">
        <f t="shared" si="3"/>
        <v>Success</v>
      </c>
    </row>
    <row r="23" spans="1:26" x14ac:dyDescent="0.3">
      <c r="A23" s="1" t="s">
        <v>84</v>
      </c>
      <c r="B23" s="1">
        <v>6</v>
      </c>
      <c r="C23" s="1" t="str">
        <f t="shared" si="0"/>
        <v>Passive</v>
      </c>
      <c r="D23" s="1">
        <v>4</v>
      </c>
      <c r="E23" s="1">
        <v>3</v>
      </c>
      <c r="F23" s="1">
        <v>4</v>
      </c>
      <c r="G23" s="1">
        <v>2</v>
      </c>
      <c r="H23" s="1">
        <v>4</v>
      </c>
      <c r="I23" s="1">
        <v>4</v>
      </c>
      <c r="J23" s="1">
        <v>2</v>
      </c>
      <c r="K23" s="1">
        <v>2</v>
      </c>
      <c r="L23" s="1">
        <v>3</v>
      </c>
      <c r="M23" s="1">
        <v>2</v>
      </c>
      <c r="N23" s="1">
        <v>3</v>
      </c>
      <c r="O23" s="1">
        <f t="shared" si="1"/>
        <v>42.5</v>
      </c>
      <c r="P23" s="1">
        <v>3</v>
      </c>
      <c r="Q23" s="3">
        <v>46212.743750000001</v>
      </c>
      <c r="R23" s="3">
        <v>46212.745138888888</v>
      </c>
      <c r="S23" s="9">
        <f t="shared" si="2"/>
        <v>2</v>
      </c>
      <c r="T23" s="1">
        <v>7</v>
      </c>
      <c r="U23" s="1">
        <v>1</v>
      </c>
      <c r="V23" s="1">
        <v>3</v>
      </c>
      <c r="W23" s="1">
        <v>1</v>
      </c>
      <c r="X23" s="1">
        <v>0</v>
      </c>
      <c r="Y23" s="1">
        <v>1</v>
      </c>
      <c r="Z23" t="str">
        <f t="shared" si="3"/>
        <v>Success</v>
      </c>
    </row>
    <row r="24" spans="1:26" x14ac:dyDescent="0.3">
      <c r="A24" s="1" t="s">
        <v>85</v>
      </c>
      <c r="B24" s="1">
        <v>5</v>
      </c>
      <c r="C24" s="1" t="str">
        <f t="shared" si="0"/>
        <v>Passive</v>
      </c>
      <c r="D24" s="1">
        <v>3</v>
      </c>
      <c r="E24" s="1">
        <v>2</v>
      </c>
      <c r="F24" s="1">
        <v>3</v>
      </c>
      <c r="G24" s="1">
        <v>3</v>
      </c>
      <c r="H24" s="1">
        <v>3</v>
      </c>
      <c r="I24" s="1">
        <v>2</v>
      </c>
      <c r="J24" s="1">
        <v>2</v>
      </c>
      <c r="K24" s="1">
        <v>2</v>
      </c>
      <c r="L24" s="1">
        <v>3</v>
      </c>
      <c r="M24" s="1">
        <v>3</v>
      </c>
      <c r="N24" s="1">
        <v>3</v>
      </c>
      <c r="O24" s="1">
        <f t="shared" si="1"/>
        <v>45</v>
      </c>
      <c r="P24" s="1">
        <v>4</v>
      </c>
      <c r="Q24" s="3">
        <v>46217.649305555547</v>
      </c>
      <c r="R24" s="3">
        <v>46217.656944444447</v>
      </c>
      <c r="S24" s="9">
        <f t="shared" si="2"/>
        <v>11</v>
      </c>
      <c r="T24" s="1">
        <v>3</v>
      </c>
      <c r="U24" s="1">
        <v>0</v>
      </c>
      <c r="V24" s="1">
        <v>6</v>
      </c>
      <c r="W24" s="1">
        <v>1</v>
      </c>
      <c r="X24" s="1">
        <v>1</v>
      </c>
      <c r="Y24" s="1">
        <v>1</v>
      </c>
      <c r="Z24" t="str">
        <f t="shared" si="3"/>
        <v>Success</v>
      </c>
    </row>
    <row r="25" spans="1:26" x14ac:dyDescent="0.3">
      <c r="A25" s="1" t="s">
        <v>86</v>
      </c>
      <c r="B25" s="1">
        <v>6</v>
      </c>
      <c r="C25" s="1" t="str">
        <f t="shared" si="0"/>
        <v>Passive</v>
      </c>
      <c r="D25" s="1">
        <v>4</v>
      </c>
      <c r="E25" s="1">
        <v>4</v>
      </c>
      <c r="F25" s="1">
        <v>3</v>
      </c>
      <c r="G25" s="1">
        <v>4</v>
      </c>
      <c r="H25" s="1">
        <v>3</v>
      </c>
      <c r="I25" s="1">
        <v>4</v>
      </c>
      <c r="J25" s="1">
        <v>4</v>
      </c>
      <c r="K25" s="1">
        <v>4</v>
      </c>
      <c r="L25" s="1">
        <v>4</v>
      </c>
      <c r="M25" s="1">
        <v>4</v>
      </c>
      <c r="N25" s="1">
        <v>4</v>
      </c>
      <c r="O25" s="1">
        <f t="shared" si="1"/>
        <v>55</v>
      </c>
      <c r="P25" s="1">
        <v>2</v>
      </c>
      <c r="Q25" s="3">
        <v>46210.636805555558</v>
      </c>
      <c r="R25" s="3">
        <v>46210.640972222223</v>
      </c>
      <c r="S25" s="9">
        <f t="shared" si="2"/>
        <v>6</v>
      </c>
      <c r="T25" s="1">
        <v>4</v>
      </c>
      <c r="U25" s="1">
        <v>2</v>
      </c>
      <c r="V25" s="1">
        <v>1</v>
      </c>
      <c r="W25" s="1">
        <v>1</v>
      </c>
      <c r="X25" s="1">
        <v>1</v>
      </c>
      <c r="Y25" s="1">
        <v>1</v>
      </c>
      <c r="Z25" t="str">
        <f t="shared" si="3"/>
        <v>Success</v>
      </c>
    </row>
    <row r="26" spans="1:26" x14ac:dyDescent="0.3">
      <c r="A26" s="1" t="s">
        <v>87</v>
      </c>
      <c r="B26" s="1">
        <v>6</v>
      </c>
      <c r="C26" s="1" t="str">
        <f t="shared" si="0"/>
        <v>Passive</v>
      </c>
      <c r="D26" s="1">
        <v>4</v>
      </c>
      <c r="E26" s="1">
        <v>3</v>
      </c>
      <c r="F26" s="1">
        <v>2</v>
      </c>
      <c r="G26" s="1">
        <v>3</v>
      </c>
      <c r="H26" s="1">
        <v>2</v>
      </c>
      <c r="I26" s="1">
        <v>3</v>
      </c>
      <c r="J26" s="1">
        <v>2</v>
      </c>
      <c r="K26" s="1">
        <v>2</v>
      </c>
      <c r="L26" s="1">
        <v>3</v>
      </c>
      <c r="M26" s="1">
        <v>3</v>
      </c>
      <c r="N26" s="1">
        <v>3</v>
      </c>
      <c r="O26" s="1">
        <f t="shared" si="1"/>
        <v>55</v>
      </c>
      <c r="P26" s="1">
        <v>4</v>
      </c>
      <c r="Q26" s="3">
        <v>46231.629861111112</v>
      </c>
      <c r="R26" s="3">
        <v>46231.638888888891</v>
      </c>
      <c r="S26" s="9">
        <f t="shared" si="2"/>
        <v>13</v>
      </c>
      <c r="T26" s="1">
        <v>4</v>
      </c>
      <c r="U26" s="1">
        <v>3</v>
      </c>
      <c r="V26" s="1">
        <v>3</v>
      </c>
      <c r="W26" s="1">
        <v>0</v>
      </c>
      <c r="X26" s="1">
        <v>1</v>
      </c>
      <c r="Y26" s="1">
        <v>1</v>
      </c>
      <c r="Z26" t="str">
        <f t="shared" si="3"/>
        <v>Success</v>
      </c>
    </row>
    <row r="27" spans="1:26" x14ac:dyDescent="0.3">
      <c r="A27" s="1" t="s">
        <v>88</v>
      </c>
      <c r="B27" s="1">
        <v>2</v>
      </c>
      <c r="C27" s="1" t="str">
        <f t="shared" si="0"/>
        <v>Passive</v>
      </c>
      <c r="D27" s="1">
        <v>2</v>
      </c>
      <c r="E27" s="1">
        <v>3</v>
      </c>
      <c r="F27" s="1">
        <v>1</v>
      </c>
      <c r="G27" s="1">
        <v>2</v>
      </c>
      <c r="H27" s="1">
        <v>3</v>
      </c>
      <c r="I27" s="1">
        <v>1</v>
      </c>
      <c r="J27" s="1">
        <v>1</v>
      </c>
      <c r="K27" s="1">
        <v>3</v>
      </c>
      <c r="L27" s="1">
        <v>1</v>
      </c>
      <c r="M27" s="1">
        <v>1</v>
      </c>
      <c r="N27" s="1">
        <v>2</v>
      </c>
      <c r="O27" s="1">
        <f t="shared" si="1"/>
        <v>55</v>
      </c>
      <c r="P27" s="1">
        <v>6</v>
      </c>
      <c r="Q27" s="3">
        <v>46210.529166666667</v>
      </c>
      <c r="R27" s="3">
        <v>46210.538888888892</v>
      </c>
      <c r="S27" s="9">
        <f t="shared" si="2"/>
        <v>14</v>
      </c>
      <c r="T27" s="1">
        <v>7</v>
      </c>
      <c r="U27" s="1">
        <v>3</v>
      </c>
      <c r="V27" s="1">
        <v>3</v>
      </c>
      <c r="W27" s="1">
        <v>1</v>
      </c>
      <c r="X27" s="1">
        <v>0</v>
      </c>
      <c r="Y27" s="1">
        <v>1</v>
      </c>
      <c r="Z27" t="str">
        <f t="shared" si="3"/>
        <v>Success</v>
      </c>
    </row>
    <row r="28" spans="1:26" x14ac:dyDescent="0.3">
      <c r="A28" s="1" t="s">
        <v>89</v>
      </c>
      <c r="B28" s="1">
        <v>8</v>
      </c>
      <c r="C28" s="1" t="str">
        <f t="shared" si="0"/>
        <v>Passive</v>
      </c>
      <c r="D28" s="1">
        <v>4</v>
      </c>
      <c r="E28" s="1">
        <v>3</v>
      </c>
      <c r="F28" s="1">
        <v>3</v>
      </c>
      <c r="G28" s="1">
        <v>4</v>
      </c>
      <c r="H28" s="1">
        <v>4</v>
      </c>
      <c r="I28" s="1">
        <v>4</v>
      </c>
      <c r="J28" s="1">
        <v>4</v>
      </c>
      <c r="K28" s="1">
        <v>3</v>
      </c>
      <c r="L28" s="1">
        <v>3</v>
      </c>
      <c r="M28" s="1">
        <v>3</v>
      </c>
      <c r="N28" s="1">
        <v>2</v>
      </c>
      <c r="O28" s="1">
        <f t="shared" si="1"/>
        <v>52.5</v>
      </c>
      <c r="P28" s="1">
        <v>3</v>
      </c>
      <c r="Q28" s="3">
        <v>46230.748611111107</v>
      </c>
      <c r="R28" s="3">
        <v>46230.754166666673</v>
      </c>
      <c r="S28" s="9">
        <f t="shared" si="2"/>
        <v>8</v>
      </c>
      <c r="T28" s="1">
        <v>5</v>
      </c>
      <c r="U28" s="1">
        <v>0</v>
      </c>
      <c r="V28" s="1">
        <v>7</v>
      </c>
      <c r="W28" s="1">
        <v>1</v>
      </c>
      <c r="X28" s="1">
        <v>1</v>
      </c>
      <c r="Y28" s="1">
        <v>1</v>
      </c>
      <c r="Z28" t="str">
        <f t="shared" si="3"/>
        <v>Success</v>
      </c>
    </row>
    <row r="29" spans="1:26" x14ac:dyDescent="0.3">
      <c r="A29" s="1" t="s">
        <v>90</v>
      </c>
      <c r="B29" s="1">
        <v>10</v>
      </c>
      <c r="C29" s="1" t="str">
        <f t="shared" si="0"/>
        <v>Detractors</v>
      </c>
      <c r="D29" s="1">
        <v>5</v>
      </c>
      <c r="E29" s="1">
        <v>3</v>
      </c>
      <c r="F29" s="1">
        <v>5</v>
      </c>
      <c r="G29" s="1">
        <v>3</v>
      </c>
      <c r="H29" s="1">
        <v>3</v>
      </c>
      <c r="I29" s="1">
        <v>3</v>
      </c>
      <c r="J29" s="1">
        <v>4</v>
      </c>
      <c r="K29" s="1">
        <v>4</v>
      </c>
      <c r="L29" s="1">
        <v>2</v>
      </c>
      <c r="M29" s="1">
        <v>3</v>
      </c>
      <c r="N29" s="1">
        <v>4</v>
      </c>
      <c r="O29" s="1">
        <f t="shared" si="1"/>
        <v>45</v>
      </c>
      <c r="P29" s="1">
        <v>4</v>
      </c>
      <c r="Q29" s="3">
        <v>46222.611111111109</v>
      </c>
      <c r="R29" s="3">
        <v>46222.616666666669</v>
      </c>
      <c r="S29" s="9">
        <f t="shared" si="2"/>
        <v>8</v>
      </c>
      <c r="T29" s="1">
        <v>6</v>
      </c>
      <c r="U29" s="1">
        <v>2</v>
      </c>
      <c r="V29" s="1">
        <v>1</v>
      </c>
      <c r="W29" s="1">
        <v>1</v>
      </c>
      <c r="X29" s="1">
        <v>1</v>
      </c>
      <c r="Y29" s="1">
        <v>1</v>
      </c>
      <c r="Z29" t="str">
        <f t="shared" si="3"/>
        <v>Success</v>
      </c>
    </row>
    <row r="30" spans="1:26" x14ac:dyDescent="0.3">
      <c r="A30" s="1" t="s">
        <v>91</v>
      </c>
      <c r="B30" s="1">
        <v>7</v>
      </c>
      <c r="C30" s="1" t="str">
        <f t="shared" si="0"/>
        <v>Passive</v>
      </c>
      <c r="D30" s="1">
        <v>4</v>
      </c>
      <c r="E30" s="1">
        <v>4</v>
      </c>
      <c r="F30" s="1">
        <v>4</v>
      </c>
      <c r="G30" s="1">
        <v>4</v>
      </c>
      <c r="H30" s="1">
        <v>2</v>
      </c>
      <c r="I30" s="1">
        <v>5</v>
      </c>
      <c r="J30" s="1">
        <v>3</v>
      </c>
      <c r="K30" s="1">
        <v>3</v>
      </c>
      <c r="L30" s="1">
        <v>3</v>
      </c>
      <c r="M30" s="1">
        <v>2</v>
      </c>
      <c r="N30" s="1">
        <v>3</v>
      </c>
      <c r="O30" s="1">
        <f t="shared" si="1"/>
        <v>57.5</v>
      </c>
      <c r="P30" s="1">
        <v>4</v>
      </c>
      <c r="Q30" s="3">
        <v>46219.769444444442</v>
      </c>
      <c r="R30" s="3">
        <v>46219.775694444441</v>
      </c>
      <c r="S30" s="9">
        <f t="shared" si="2"/>
        <v>9</v>
      </c>
      <c r="T30" s="1">
        <v>4</v>
      </c>
      <c r="U30" s="1">
        <v>0</v>
      </c>
      <c r="V30" s="1">
        <v>11</v>
      </c>
      <c r="W30" s="1">
        <v>1</v>
      </c>
      <c r="X30" s="1">
        <v>1</v>
      </c>
      <c r="Y30" s="1">
        <v>1</v>
      </c>
      <c r="Z30" t="str">
        <f t="shared" si="3"/>
        <v>Success</v>
      </c>
    </row>
    <row r="31" spans="1:26" x14ac:dyDescent="0.3">
      <c r="A31" s="1" t="s">
        <v>92</v>
      </c>
      <c r="B31" s="1">
        <v>9</v>
      </c>
      <c r="C31" s="1" t="str">
        <f t="shared" si="0"/>
        <v>Detractors</v>
      </c>
      <c r="D31" s="1">
        <v>5</v>
      </c>
      <c r="E31" s="1">
        <v>5</v>
      </c>
      <c r="F31" s="1">
        <v>5</v>
      </c>
      <c r="G31" s="1">
        <v>4</v>
      </c>
      <c r="H31" s="1">
        <v>5</v>
      </c>
      <c r="I31" s="1">
        <v>5</v>
      </c>
      <c r="J31" s="1">
        <v>3</v>
      </c>
      <c r="K31" s="1">
        <v>5</v>
      </c>
      <c r="L31" s="1">
        <v>4</v>
      </c>
      <c r="M31" s="1">
        <v>4</v>
      </c>
      <c r="N31" s="1">
        <v>5</v>
      </c>
      <c r="O31" s="1">
        <f t="shared" si="1"/>
        <v>52.5</v>
      </c>
      <c r="P31" s="1">
        <v>4</v>
      </c>
      <c r="Q31" s="3">
        <v>46211.649305555547</v>
      </c>
      <c r="R31" s="3">
        <v>46211.650694444441</v>
      </c>
      <c r="S31" s="9">
        <f t="shared" si="2"/>
        <v>2</v>
      </c>
      <c r="T31" s="1">
        <v>4</v>
      </c>
      <c r="U31" s="1">
        <v>1</v>
      </c>
      <c r="V31" s="1">
        <v>11</v>
      </c>
      <c r="W31" s="1">
        <v>1</v>
      </c>
      <c r="X31" s="1">
        <v>1</v>
      </c>
      <c r="Y31" s="1">
        <v>1</v>
      </c>
      <c r="Z31" t="str">
        <f t="shared" si="3"/>
        <v>Success</v>
      </c>
    </row>
    <row r="32" spans="1:26" x14ac:dyDescent="0.3">
      <c r="A32" s="1" t="s">
        <v>93</v>
      </c>
      <c r="B32" s="1">
        <v>7</v>
      </c>
      <c r="C32" s="1" t="str">
        <f t="shared" si="0"/>
        <v>Passive</v>
      </c>
      <c r="D32" s="1">
        <v>5</v>
      </c>
      <c r="E32" s="1">
        <v>4</v>
      </c>
      <c r="F32" s="1">
        <v>3</v>
      </c>
      <c r="G32" s="1">
        <v>3</v>
      </c>
      <c r="H32" s="1">
        <v>2</v>
      </c>
      <c r="I32" s="1">
        <v>3</v>
      </c>
      <c r="J32" s="1">
        <v>4</v>
      </c>
      <c r="K32" s="1">
        <v>3</v>
      </c>
      <c r="L32" s="1">
        <v>4</v>
      </c>
      <c r="M32" s="1">
        <v>2</v>
      </c>
      <c r="N32" s="1">
        <v>4</v>
      </c>
      <c r="O32" s="1">
        <f t="shared" si="1"/>
        <v>45</v>
      </c>
      <c r="P32" s="1">
        <v>4</v>
      </c>
      <c r="Q32" s="3">
        <v>46231.488888888889</v>
      </c>
      <c r="R32" s="3">
        <v>46231.495138888888</v>
      </c>
      <c r="S32" s="9">
        <f t="shared" si="2"/>
        <v>9</v>
      </c>
      <c r="T32" s="1">
        <v>6</v>
      </c>
      <c r="U32" s="1">
        <v>0</v>
      </c>
      <c r="V32" s="1">
        <v>10</v>
      </c>
      <c r="W32" s="1">
        <v>1</v>
      </c>
      <c r="X32" s="1">
        <v>1</v>
      </c>
      <c r="Y32" s="1">
        <v>0</v>
      </c>
      <c r="Z32" t="str">
        <f t="shared" si="3"/>
        <v>Failure</v>
      </c>
    </row>
    <row r="33" spans="1:26" x14ac:dyDescent="0.3">
      <c r="A33" s="1" t="s">
        <v>94</v>
      </c>
      <c r="B33" s="1">
        <v>9</v>
      </c>
      <c r="C33" s="1" t="str">
        <f t="shared" si="0"/>
        <v>Detractors</v>
      </c>
      <c r="D33" s="1">
        <v>5</v>
      </c>
      <c r="E33" s="1">
        <v>3</v>
      </c>
      <c r="F33" s="1">
        <v>3</v>
      </c>
      <c r="G33" s="1">
        <v>3</v>
      </c>
      <c r="H33" s="1">
        <v>3</v>
      </c>
      <c r="I33" s="1">
        <v>3</v>
      </c>
      <c r="J33" s="1">
        <v>4</v>
      </c>
      <c r="K33" s="1">
        <v>4</v>
      </c>
      <c r="L33" s="1">
        <v>3</v>
      </c>
      <c r="M33" s="1">
        <v>3</v>
      </c>
      <c r="N33" s="1">
        <v>3</v>
      </c>
      <c r="O33" s="1">
        <f t="shared" si="1"/>
        <v>50</v>
      </c>
      <c r="P33" s="1">
        <v>4</v>
      </c>
      <c r="Q33" s="3">
        <v>46223.611805555563</v>
      </c>
      <c r="R33" s="3">
        <v>46223.616666666669</v>
      </c>
      <c r="S33" s="9">
        <f t="shared" si="2"/>
        <v>7</v>
      </c>
      <c r="T33" s="1">
        <v>6</v>
      </c>
      <c r="U33" s="1">
        <v>0</v>
      </c>
      <c r="V33" s="1">
        <v>7</v>
      </c>
      <c r="W33" s="1">
        <v>1</v>
      </c>
      <c r="X33" s="1">
        <v>1</v>
      </c>
      <c r="Y33" s="1">
        <v>1</v>
      </c>
      <c r="Z33" t="str">
        <f t="shared" si="3"/>
        <v>Success</v>
      </c>
    </row>
    <row r="34" spans="1:26" x14ac:dyDescent="0.3">
      <c r="A34" s="1" t="s">
        <v>95</v>
      </c>
      <c r="B34" s="1">
        <v>8</v>
      </c>
      <c r="C34" s="1" t="str">
        <f t="shared" si="0"/>
        <v>Passive</v>
      </c>
      <c r="D34" s="1">
        <v>4</v>
      </c>
      <c r="E34" s="1">
        <v>5</v>
      </c>
      <c r="F34" s="1">
        <v>4</v>
      </c>
      <c r="G34" s="1">
        <v>4</v>
      </c>
      <c r="H34" s="1">
        <v>4</v>
      </c>
      <c r="I34" s="1">
        <v>4</v>
      </c>
      <c r="J34" s="1">
        <v>4</v>
      </c>
      <c r="K34" s="1">
        <v>4</v>
      </c>
      <c r="L34" s="1">
        <v>4</v>
      </c>
      <c r="M34" s="1">
        <v>4</v>
      </c>
      <c r="N34" s="1">
        <v>4</v>
      </c>
      <c r="O34" s="1">
        <f t="shared" si="1"/>
        <v>52.5</v>
      </c>
      <c r="P34" s="1">
        <v>3</v>
      </c>
      <c r="Q34" s="3">
        <v>46217.427083333343</v>
      </c>
      <c r="R34" s="3">
        <v>46217.428472222222</v>
      </c>
      <c r="S34" s="9">
        <f t="shared" si="2"/>
        <v>2</v>
      </c>
      <c r="T34" s="1">
        <v>4</v>
      </c>
      <c r="U34" s="1">
        <v>2</v>
      </c>
      <c r="V34" s="1">
        <v>6</v>
      </c>
      <c r="W34" s="1">
        <v>0</v>
      </c>
      <c r="X34" s="1">
        <v>1</v>
      </c>
      <c r="Y34" s="1">
        <v>1</v>
      </c>
      <c r="Z34" t="str">
        <f t="shared" si="3"/>
        <v>Success</v>
      </c>
    </row>
    <row r="35" spans="1:26" x14ac:dyDescent="0.3">
      <c r="A35" s="1" t="s">
        <v>96</v>
      </c>
      <c r="B35" s="1">
        <v>6</v>
      </c>
      <c r="C35" s="1" t="str">
        <f t="shared" si="0"/>
        <v>Passive</v>
      </c>
      <c r="D35" s="1">
        <v>4</v>
      </c>
      <c r="E35" s="1">
        <v>3</v>
      </c>
      <c r="F35" s="1">
        <v>4</v>
      </c>
      <c r="G35" s="1">
        <v>2</v>
      </c>
      <c r="H35" s="1">
        <v>3</v>
      </c>
      <c r="I35" s="1">
        <v>3</v>
      </c>
      <c r="J35" s="1">
        <v>2</v>
      </c>
      <c r="K35" s="1">
        <v>4</v>
      </c>
      <c r="L35" s="1">
        <v>2</v>
      </c>
      <c r="M35" s="1">
        <v>2</v>
      </c>
      <c r="N35" s="1">
        <v>3</v>
      </c>
      <c r="O35" s="1">
        <f t="shared" si="1"/>
        <v>50</v>
      </c>
      <c r="P35" s="1">
        <v>6</v>
      </c>
      <c r="Q35" s="3">
        <v>46210.620833333327</v>
      </c>
      <c r="R35" s="3">
        <v>46210.632638888892</v>
      </c>
      <c r="S35" s="9">
        <f t="shared" si="2"/>
        <v>17</v>
      </c>
      <c r="T35" s="1">
        <v>4</v>
      </c>
      <c r="U35" s="1">
        <v>0</v>
      </c>
      <c r="V35" s="1">
        <v>5</v>
      </c>
      <c r="W35" s="1">
        <v>0</v>
      </c>
      <c r="X35" s="1">
        <v>1</v>
      </c>
      <c r="Y35" s="1">
        <v>1</v>
      </c>
      <c r="Z35" t="str">
        <f t="shared" si="3"/>
        <v>Success</v>
      </c>
    </row>
    <row r="36" spans="1:26" x14ac:dyDescent="0.3">
      <c r="A36" s="1" t="s">
        <v>97</v>
      </c>
      <c r="B36" s="1">
        <v>4</v>
      </c>
      <c r="C36" s="1" t="str">
        <f t="shared" si="0"/>
        <v>Passive</v>
      </c>
      <c r="D36" s="1">
        <v>3</v>
      </c>
      <c r="E36" s="1">
        <v>2</v>
      </c>
      <c r="F36" s="1">
        <v>2</v>
      </c>
      <c r="G36" s="1">
        <v>3</v>
      </c>
      <c r="H36" s="1">
        <v>2</v>
      </c>
      <c r="I36" s="1">
        <v>2</v>
      </c>
      <c r="J36" s="1">
        <v>1</v>
      </c>
      <c r="K36" s="1">
        <v>2</v>
      </c>
      <c r="L36" s="1">
        <v>3</v>
      </c>
      <c r="M36" s="1">
        <v>2</v>
      </c>
      <c r="N36" s="1">
        <v>2</v>
      </c>
      <c r="O36" s="1">
        <f t="shared" si="1"/>
        <v>52.5</v>
      </c>
      <c r="P36" s="1">
        <v>5</v>
      </c>
      <c r="Q36" s="3">
        <v>46227.779861111107</v>
      </c>
      <c r="R36" s="3">
        <v>46227.790972222218</v>
      </c>
      <c r="S36" s="9">
        <f t="shared" si="2"/>
        <v>16</v>
      </c>
      <c r="T36" s="1">
        <v>4</v>
      </c>
      <c r="U36" s="1">
        <v>1</v>
      </c>
      <c r="V36" s="1">
        <v>1</v>
      </c>
      <c r="W36" s="1">
        <v>1</v>
      </c>
      <c r="X36" s="1">
        <v>1</v>
      </c>
      <c r="Y36" s="1">
        <v>0</v>
      </c>
      <c r="Z36" t="str">
        <f t="shared" si="3"/>
        <v>Failure</v>
      </c>
    </row>
    <row r="37" spans="1:26" x14ac:dyDescent="0.3">
      <c r="A37" s="1" t="s">
        <v>98</v>
      </c>
      <c r="B37" s="1">
        <v>6</v>
      </c>
      <c r="C37" s="1" t="str">
        <f t="shared" si="0"/>
        <v>Passive</v>
      </c>
      <c r="D37" s="1">
        <v>3</v>
      </c>
      <c r="E37" s="1">
        <v>2</v>
      </c>
      <c r="F37" s="1">
        <v>1</v>
      </c>
      <c r="G37" s="1">
        <v>2</v>
      </c>
      <c r="H37" s="1">
        <v>3</v>
      </c>
      <c r="I37" s="1">
        <v>2</v>
      </c>
      <c r="J37" s="1">
        <v>3</v>
      </c>
      <c r="K37" s="1">
        <v>2</v>
      </c>
      <c r="L37" s="1">
        <v>3</v>
      </c>
      <c r="M37" s="1">
        <v>2</v>
      </c>
      <c r="N37" s="1">
        <v>2</v>
      </c>
      <c r="O37" s="1">
        <f t="shared" si="1"/>
        <v>45</v>
      </c>
      <c r="P37" s="1">
        <v>2</v>
      </c>
      <c r="Q37" s="3">
        <v>46206.45</v>
      </c>
      <c r="R37" s="3">
        <v>46206.459027777782</v>
      </c>
      <c r="S37" s="9">
        <f t="shared" si="2"/>
        <v>13</v>
      </c>
      <c r="T37" s="1">
        <v>8</v>
      </c>
      <c r="U37" s="1">
        <v>1</v>
      </c>
      <c r="V37" s="1">
        <v>3</v>
      </c>
      <c r="W37" s="1">
        <v>1</v>
      </c>
      <c r="X37" s="1">
        <v>0</v>
      </c>
      <c r="Y37" s="1">
        <v>1</v>
      </c>
      <c r="Z37" t="str">
        <f t="shared" si="3"/>
        <v>Success</v>
      </c>
    </row>
    <row r="38" spans="1:26" x14ac:dyDescent="0.3">
      <c r="A38" s="1" t="s">
        <v>99</v>
      </c>
      <c r="B38" s="1">
        <v>3</v>
      </c>
      <c r="C38" s="1" t="str">
        <f t="shared" si="0"/>
        <v>Passive</v>
      </c>
      <c r="D38" s="1">
        <v>3</v>
      </c>
      <c r="E38" s="1">
        <v>2</v>
      </c>
      <c r="F38" s="1">
        <v>2</v>
      </c>
      <c r="G38" s="1">
        <v>3</v>
      </c>
      <c r="H38" s="1">
        <v>2</v>
      </c>
      <c r="I38" s="1">
        <v>2</v>
      </c>
      <c r="J38" s="1">
        <v>2</v>
      </c>
      <c r="K38" s="1">
        <v>3</v>
      </c>
      <c r="L38" s="1">
        <v>3</v>
      </c>
      <c r="M38" s="1">
        <v>3</v>
      </c>
      <c r="N38" s="1">
        <v>2</v>
      </c>
      <c r="O38" s="1">
        <f t="shared" si="1"/>
        <v>55</v>
      </c>
      <c r="P38" s="1">
        <v>5</v>
      </c>
      <c r="Q38" s="3">
        <v>46217.380555555559</v>
      </c>
      <c r="R38" s="3">
        <v>46217.390972222223</v>
      </c>
      <c r="S38" s="9">
        <f t="shared" si="2"/>
        <v>15</v>
      </c>
      <c r="T38" s="1">
        <v>6</v>
      </c>
      <c r="U38" s="1">
        <v>2</v>
      </c>
      <c r="V38" s="1">
        <v>6</v>
      </c>
      <c r="W38" s="1">
        <v>1</v>
      </c>
      <c r="X38" s="1">
        <v>0</v>
      </c>
      <c r="Y38" s="1">
        <v>0</v>
      </c>
      <c r="Z38" t="str">
        <f t="shared" si="3"/>
        <v>Failure</v>
      </c>
    </row>
    <row r="39" spans="1:26" x14ac:dyDescent="0.3">
      <c r="A39" s="1" t="s">
        <v>100</v>
      </c>
      <c r="B39" s="1">
        <v>8</v>
      </c>
      <c r="C39" s="1" t="str">
        <f t="shared" si="0"/>
        <v>Passive</v>
      </c>
      <c r="D39" s="1">
        <v>3</v>
      </c>
      <c r="E39" s="1">
        <v>2</v>
      </c>
      <c r="F39" s="1">
        <v>3</v>
      </c>
      <c r="G39" s="1">
        <v>3</v>
      </c>
      <c r="H39" s="1">
        <v>3</v>
      </c>
      <c r="I39" s="1">
        <v>2</v>
      </c>
      <c r="J39" s="1">
        <v>2</v>
      </c>
      <c r="K39" s="1">
        <v>3</v>
      </c>
      <c r="L39" s="1">
        <v>2</v>
      </c>
      <c r="M39" s="1">
        <v>4</v>
      </c>
      <c r="N39" s="1">
        <v>2</v>
      </c>
      <c r="O39" s="1">
        <f t="shared" si="1"/>
        <v>55</v>
      </c>
      <c r="P39" s="1">
        <v>5</v>
      </c>
      <c r="Q39" s="3">
        <v>46224.543749999997</v>
      </c>
      <c r="R39" s="3">
        <v>46224.554861111108</v>
      </c>
      <c r="S39" s="9">
        <f t="shared" si="2"/>
        <v>16</v>
      </c>
      <c r="T39" s="1">
        <v>4</v>
      </c>
      <c r="U39" s="1">
        <v>1</v>
      </c>
      <c r="V39" s="1">
        <v>6</v>
      </c>
      <c r="W39" s="1">
        <v>1</v>
      </c>
      <c r="X39" s="1">
        <v>1</v>
      </c>
      <c r="Y39" s="1">
        <v>1</v>
      </c>
      <c r="Z39" t="str">
        <f t="shared" si="3"/>
        <v>Success</v>
      </c>
    </row>
    <row r="40" spans="1:26" x14ac:dyDescent="0.3">
      <c r="A40" s="1" t="s">
        <v>101</v>
      </c>
      <c r="B40" s="1">
        <v>7</v>
      </c>
      <c r="C40" s="1" t="str">
        <f t="shared" si="0"/>
        <v>Passive</v>
      </c>
      <c r="D40" s="1">
        <v>4</v>
      </c>
      <c r="E40" s="1">
        <v>4</v>
      </c>
      <c r="F40" s="1">
        <v>4</v>
      </c>
      <c r="G40" s="1">
        <v>3</v>
      </c>
      <c r="H40" s="1">
        <v>4</v>
      </c>
      <c r="I40" s="1">
        <v>4</v>
      </c>
      <c r="J40" s="1">
        <v>3</v>
      </c>
      <c r="K40" s="1">
        <v>4</v>
      </c>
      <c r="L40" s="1">
        <v>4</v>
      </c>
      <c r="M40" s="1">
        <v>5</v>
      </c>
      <c r="N40" s="1">
        <v>3</v>
      </c>
      <c r="O40" s="1">
        <f t="shared" si="1"/>
        <v>55</v>
      </c>
      <c r="P40" s="1">
        <v>4</v>
      </c>
      <c r="Q40" s="3">
        <v>46208.44027777778</v>
      </c>
      <c r="R40" s="3">
        <v>46208.445833333331</v>
      </c>
      <c r="S40" s="9">
        <f t="shared" si="2"/>
        <v>8</v>
      </c>
      <c r="T40" s="1">
        <v>5</v>
      </c>
      <c r="U40" s="1">
        <v>3</v>
      </c>
      <c r="V40" s="1">
        <v>6</v>
      </c>
      <c r="W40" s="1">
        <v>1</v>
      </c>
      <c r="X40" s="1">
        <v>1</v>
      </c>
      <c r="Y40" s="1">
        <v>1</v>
      </c>
      <c r="Z40" t="str">
        <f t="shared" si="3"/>
        <v>Success</v>
      </c>
    </row>
    <row r="41" spans="1:26" x14ac:dyDescent="0.3">
      <c r="A41" s="1" t="s">
        <v>102</v>
      </c>
      <c r="B41" s="1">
        <v>8</v>
      </c>
      <c r="C41" s="1" t="str">
        <f t="shared" si="0"/>
        <v>Passive</v>
      </c>
      <c r="D41" s="1">
        <v>3</v>
      </c>
      <c r="E41" s="1">
        <v>3</v>
      </c>
      <c r="F41" s="1">
        <v>4</v>
      </c>
      <c r="G41" s="1">
        <v>4</v>
      </c>
      <c r="H41" s="1">
        <v>4</v>
      </c>
      <c r="I41" s="1">
        <v>4</v>
      </c>
      <c r="J41" s="1">
        <v>4</v>
      </c>
      <c r="K41" s="1">
        <v>2</v>
      </c>
      <c r="L41" s="1">
        <v>3</v>
      </c>
      <c r="M41" s="1">
        <v>3</v>
      </c>
      <c r="N41" s="1">
        <v>4</v>
      </c>
      <c r="O41" s="1">
        <f t="shared" si="1"/>
        <v>42.5</v>
      </c>
      <c r="P41" s="1">
        <v>3</v>
      </c>
      <c r="Q41" s="3">
        <v>46219.602083333331</v>
      </c>
      <c r="R41" s="3">
        <v>46219.606944444437</v>
      </c>
      <c r="S41" s="9">
        <f t="shared" si="2"/>
        <v>7</v>
      </c>
      <c r="T41" s="1">
        <v>3</v>
      </c>
      <c r="U41" s="1">
        <v>2</v>
      </c>
      <c r="V41" s="1">
        <v>5</v>
      </c>
      <c r="W41" s="1">
        <v>1</v>
      </c>
      <c r="X41" s="1">
        <v>1</v>
      </c>
      <c r="Y41" s="1">
        <v>1</v>
      </c>
      <c r="Z41" t="str">
        <f t="shared" si="3"/>
        <v>Success</v>
      </c>
    </row>
    <row r="42" spans="1:26" x14ac:dyDescent="0.3">
      <c r="A42" s="1" t="s">
        <v>103</v>
      </c>
      <c r="B42" s="1">
        <v>1</v>
      </c>
      <c r="C42" s="1" t="str">
        <f t="shared" si="0"/>
        <v>Passive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f t="shared" si="1"/>
        <v>50</v>
      </c>
      <c r="P42" s="1">
        <v>7</v>
      </c>
      <c r="Q42" s="3">
        <v>46218.476388888892</v>
      </c>
      <c r="R42" s="3">
        <v>46218.486805555563</v>
      </c>
      <c r="S42" s="9">
        <f t="shared" si="2"/>
        <v>15</v>
      </c>
      <c r="T42" s="1">
        <v>8</v>
      </c>
      <c r="U42" s="1">
        <v>6</v>
      </c>
      <c r="V42" s="1">
        <v>1</v>
      </c>
      <c r="W42" s="1">
        <v>1</v>
      </c>
      <c r="X42" s="1">
        <v>0</v>
      </c>
      <c r="Y42" s="1">
        <v>0</v>
      </c>
      <c r="Z42" t="str">
        <f t="shared" si="3"/>
        <v>Failure</v>
      </c>
    </row>
    <row r="43" spans="1:26" x14ac:dyDescent="0.3">
      <c r="A43" s="1" t="s">
        <v>104</v>
      </c>
      <c r="B43" s="1">
        <v>5</v>
      </c>
      <c r="C43" s="1" t="str">
        <f t="shared" si="0"/>
        <v>Passive</v>
      </c>
      <c r="D43" s="1">
        <v>3</v>
      </c>
      <c r="E43" s="1">
        <v>3</v>
      </c>
      <c r="F43" s="1">
        <v>3</v>
      </c>
      <c r="G43" s="1">
        <v>3</v>
      </c>
      <c r="H43" s="1">
        <v>2</v>
      </c>
      <c r="I43" s="1">
        <v>2</v>
      </c>
      <c r="J43" s="1">
        <v>4</v>
      </c>
      <c r="K43" s="1">
        <v>2</v>
      </c>
      <c r="L43" s="1">
        <v>4</v>
      </c>
      <c r="M43" s="1">
        <v>3</v>
      </c>
      <c r="N43" s="1">
        <v>2</v>
      </c>
      <c r="O43" s="1">
        <f t="shared" si="1"/>
        <v>45</v>
      </c>
      <c r="P43" s="1">
        <v>3</v>
      </c>
      <c r="Q43" s="3">
        <v>46210.445833333331</v>
      </c>
      <c r="R43" s="3">
        <v>46210.455555555563</v>
      </c>
      <c r="S43" s="9">
        <f t="shared" si="2"/>
        <v>14</v>
      </c>
      <c r="T43" s="1">
        <v>2</v>
      </c>
      <c r="U43" s="1">
        <v>0</v>
      </c>
      <c r="V43" s="1">
        <v>6</v>
      </c>
      <c r="W43" s="1">
        <v>1</v>
      </c>
      <c r="X43" s="1">
        <v>1</v>
      </c>
      <c r="Y43" s="1">
        <v>1</v>
      </c>
      <c r="Z43" t="str">
        <f t="shared" si="3"/>
        <v>Success</v>
      </c>
    </row>
    <row r="44" spans="1:26" x14ac:dyDescent="0.3">
      <c r="A44" s="1" t="s">
        <v>105</v>
      </c>
      <c r="B44" s="1">
        <v>6</v>
      </c>
      <c r="C44" s="1" t="str">
        <f t="shared" si="0"/>
        <v>Passive</v>
      </c>
      <c r="D44" s="1">
        <v>3</v>
      </c>
      <c r="E44" s="1">
        <v>2</v>
      </c>
      <c r="F44" s="1">
        <v>2</v>
      </c>
      <c r="G44" s="1">
        <v>2</v>
      </c>
      <c r="H44" s="1">
        <v>2</v>
      </c>
      <c r="I44" s="1">
        <v>2</v>
      </c>
      <c r="J44" s="1">
        <v>2</v>
      </c>
      <c r="K44" s="1">
        <v>2</v>
      </c>
      <c r="L44" s="1">
        <v>3</v>
      </c>
      <c r="M44" s="1">
        <v>3</v>
      </c>
      <c r="N44" s="1">
        <v>2</v>
      </c>
      <c r="O44" s="1">
        <f t="shared" si="1"/>
        <v>50</v>
      </c>
      <c r="P44" s="1">
        <v>4</v>
      </c>
      <c r="Q44" s="3">
        <v>46209.441666666673</v>
      </c>
      <c r="R44" s="3">
        <v>46209.45</v>
      </c>
      <c r="S44" s="9">
        <f t="shared" si="2"/>
        <v>12</v>
      </c>
      <c r="T44" s="1">
        <v>5</v>
      </c>
      <c r="U44" s="1">
        <v>1</v>
      </c>
      <c r="V44" s="1">
        <v>2</v>
      </c>
      <c r="W44" s="1">
        <v>1</v>
      </c>
      <c r="X44" s="1">
        <v>1</v>
      </c>
      <c r="Y44" s="1">
        <v>0</v>
      </c>
      <c r="Z44" t="str">
        <f t="shared" si="3"/>
        <v>Failure</v>
      </c>
    </row>
    <row r="45" spans="1:26" x14ac:dyDescent="0.3">
      <c r="A45" s="1" t="s">
        <v>106</v>
      </c>
      <c r="B45" s="1">
        <v>5</v>
      </c>
      <c r="C45" s="1" t="str">
        <f t="shared" si="0"/>
        <v>Passive</v>
      </c>
      <c r="D45" s="1">
        <v>3</v>
      </c>
      <c r="E45" s="1">
        <v>4</v>
      </c>
      <c r="F45" s="1">
        <v>4</v>
      </c>
      <c r="G45" s="1">
        <v>3</v>
      </c>
      <c r="H45" s="1">
        <v>3</v>
      </c>
      <c r="I45" s="1">
        <v>4</v>
      </c>
      <c r="J45" s="1">
        <v>3</v>
      </c>
      <c r="K45" s="1">
        <v>3</v>
      </c>
      <c r="L45" s="1">
        <v>3</v>
      </c>
      <c r="M45" s="1">
        <v>4</v>
      </c>
      <c r="N45" s="1">
        <v>3</v>
      </c>
      <c r="O45" s="1">
        <f t="shared" si="1"/>
        <v>55</v>
      </c>
      <c r="P45" s="1">
        <v>4</v>
      </c>
      <c r="Q45" s="3">
        <v>46225.775694444441</v>
      </c>
      <c r="R45" s="3">
        <v>46225.782638888893</v>
      </c>
      <c r="S45" s="9">
        <f t="shared" si="2"/>
        <v>10</v>
      </c>
      <c r="T45" s="1">
        <v>2</v>
      </c>
      <c r="U45" s="1">
        <v>1</v>
      </c>
      <c r="V45" s="1">
        <v>7</v>
      </c>
      <c r="W45" s="1">
        <v>1</v>
      </c>
      <c r="X45" s="1">
        <v>1</v>
      </c>
      <c r="Y45" s="1">
        <v>1</v>
      </c>
      <c r="Z45" t="str">
        <f t="shared" si="3"/>
        <v>Success</v>
      </c>
    </row>
    <row r="46" spans="1:26" x14ac:dyDescent="0.3">
      <c r="A46" s="1" t="s">
        <v>107</v>
      </c>
      <c r="B46" s="1">
        <v>8</v>
      </c>
      <c r="C46" s="1" t="str">
        <f t="shared" si="0"/>
        <v>Passive</v>
      </c>
      <c r="D46" s="1">
        <v>4</v>
      </c>
      <c r="E46" s="1">
        <v>4</v>
      </c>
      <c r="F46" s="1">
        <v>3</v>
      </c>
      <c r="G46" s="1">
        <v>4</v>
      </c>
      <c r="H46" s="1">
        <v>4</v>
      </c>
      <c r="I46" s="1">
        <v>3</v>
      </c>
      <c r="J46" s="1">
        <v>3</v>
      </c>
      <c r="K46" s="1">
        <v>4</v>
      </c>
      <c r="L46" s="1">
        <v>2</v>
      </c>
      <c r="M46" s="1">
        <v>4</v>
      </c>
      <c r="N46" s="1">
        <v>4</v>
      </c>
      <c r="O46" s="1">
        <f t="shared" si="1"/>
        <v>57.5</v>
      </c>
      <c r="P46" s="1">
        <v>4</v>
      </c>
      <c r="Q46" s="3">
        <v>46205.584027777782</v>
      </c>
      <c r="R46" s="3">
        <v>46205.588888888888</v>
      </c>
      <c r="S46" s="9">
        <f t="shared" si="2"/>
        <v>7</v>
      </c>
      <c r="T46" s="1">
        <v>5</v>
      </c>
      <c r="U46" s="1">
        <v>0</v>
      </c>
      <c r="V46" s="1">
        <v>1</v>
      </c>
      <c r="W46" s="1">
        <v>1</v>
      </c>
      <c r="X46" s="1">
        <v>0</v>
      </c>
      <c r="Y46" s="1">
        <v>1</v>
      </c>
      <c r="Z46" t="str">
        <f t="shared" si="3"/>
        <v>Success</v>
      </c>
    </row>
    <row r="47" spans="1:26" x14ac:dyDescent="0.3">
      <c r="A47" s="1" t="s">
        <v>108</v>
      </c>
      <c r="B47" s="1">
        <v>9</v>
      </c>
      <c r="C47" s="1" t="str">
        <f t="shared" si="0"/>
        <v>Detractors</v>
      </c>
      <c r="D47" s="1">
        <v>4</v>
      </c>
      <c r="E47" s="1">
        <v>4</v>
      </c>
      <c r="F47" s="1">
        <v>4</v>
      </c>
      <c r="G47" s="1">
        <v>4</v>
      </c>
      <c r="H47" s="1">
        <v>5</v>
      </c>
      <c r="I47" s="1">
        <v>5</v>
      </c>
      <c r="J47" s="1">
        <v>4</v>
      </c>
      <c r="K47" s="1">
        <v>4</v>
      </c>
      <c r="L47" s="1">
        <v>4</v>
      </c>
      <c r="M47" s="1">
        <v>4</v>
      </c>
      <c r="N47" s="1">
        <v>4</v>
      </c>
      <c r="O47" s="1">
        <f t="shared" si="1"/>
        <v>50</v>
      </c>
      <c r="P47" s="1">
        <v>2</v>
      </c>
      <c r="Q47" s="3">
        <v>46210.556944444441</v>
      </c>
      <c r="R47" s="3">
        <v>46210.558333333327</v>
      </c>
      <c r="S47" s="9">
        <f t="shared" si="2"/>
        <v>2</v>
      </c>
      <c r="T47" s="1">
        <v>3</v>
      </c>
      <c r="U47" s="1">
        <v>1</v>
      </c>
      <c r="V47" s="1">
        <v>5</v>
      </c>
      <c r="W47" s="1">
        <v>1</v>
      </c>
      <c r="X47" s="1">
        <v>1</v>
      </c>
      <c r="Y47" s="1">
        <v>1</v>
      </c>
      <c r="Z47" t="str">
        <f t="shared" si="3"/>
        <v>Success</v>
      </c>
    </row>
    <row r="48" spans="1:26" x14ac:dyDescent="0.3">
      <c r="A48" s="1" t="s">
        <v>109</v>
      </c>
      <c r="B48" s="1">
        <v>6</v>
      </c>
      <c r="C48" s="1" t="str">
        <f t="shared" si="0"/>
        <v>Passive</v>
      </c>
      <c r="D48" s="1">
        <v>4</v>
      </c>
      <c r="E48" s="1">
        <v>3</v>
      </c>
      <c r="F48" s="1">
        <v>2</v>
      </c>
      <c r="G48" s="1">
        <v>2</v>
      </c>
      <c r="H48" s="1">
        <v>3</v>
      </c>
      <c r="I48" s="1">
        <v>2</v>
      </c>
      <c r="J48" s="1">
        <v>3</v>
      </c>
      <c r="K48" s="1">
        <v>2</v>
      </c>
      <c r="L48" s="1">
        <v>2</v>
      </c>
      <c r="M48" s="1">
        <v>3</v>
      </c>
      <c r="N48" s="1">
        <v>3</v>
      </c>
      <c r="O48" s="1">
        <f t="shared" si="1"/>
        <v>47.5</v>
      </c>
      <c r="P48" s="1">
        <v>3</v>
      </c>
      <c r="Q48" s="3">
        <v>46206.644444444442</v>
      </c>
      <c r="R48" s="3">
        <v>46206.648611111108</v>
      </c>
      <c r="S48" s="9">
        <f t="shared" si="2"/>
        <v>6</v>
      </c>
      <c r="T48" s="1">
        <v>3</v>
      </c>
      <c r="U48" s="1">
        <v>1</v>
      </c>
      <c r="V48" s="1">
        <v>5</v>
      </c>
      <c r="W48" s="1">
        <v>1</v>
      </c>
      <c r="X48" s="1">
        <v>1</v>
      </c>
      <c r="Y48" s="1">
        <v>1</v>
      </c>
      <c r="Z48" t="str">
        <f t="shared" si="3"/>
        <v>Success</v>
      </c>
    </row>
    <row r="49" spans="1:26" x14ac:dyDescent="0.3">
      <c r="A49" s="1" t="s">
        <v>110</v>
      </c>
      <c r="B49" s="1">
        <v>8</v>
      </c>
      <c r="C49" s="1" t="str">
        <f t="shared" si="0"/>
        <v>Passive</v>
      </c>
      <c r="D49" s="1">
        <v>4</v>
      </c>
      <c r="E49" s="1">
        <v>3</v>
      </c>
      <c r="F49" s="1">
        <v>2</v>
      </c>
      <c r="G49" s="1">
        <v>2</v>
      </c>
      <c r="H49" s="1">
        <v>3</v>
      </c>
      <c r="I49" s="1">
        <v>3</v>
      </c>
      <c r="J49" s="1">
        <v>4</v>
      </c>
      <c r="K49" s="1">
        <v>3</v>
      </c>
      <c r="L49" s="1">
        <v>4</v>
      </c>
      <c r="M49" s="1">
        <v>4</v>
      </c>
      <c r="N49" s="1">
        <v>2</v>
      </c>
      <c r="O49" s="1">
        <f t="shared" si="1"/>
        <v>50</v>
      </c>
      <c r="P49" s="1">
        <v>3</v>
      </c>
      <c r="Q49" s="3">
        <v>46218.410416666673</v>
      </c>
      <c r="R49" s="3">
        <v>46218.416666666657</v>
      </c>
      <c r="S49" s="9">
        <f t="shared" si="2"/>
        <v>9</v>
      </c>
      <c r="T49" s="1">
        <v>5</v>
      </c>
      <c r="U49" s="1">
        <v>1</v>
      </c>
      <c r="V49" s="1">
        <v>5</v>
      </c>
      <c r="W49" s="1">
        <v>1</v>
      </c>
      <c r="X49" s="1">
        <v>1</v>
      </c>
      <c r="Y49" s="1">
        <v>1</v>
      </c>
      <c r="Z49" t="str">
        <f t="shared" si="3"/>
        <v>Success</v>
      </c>
    </row>
    <row r="50" spans="1:26" x14ac:dyDescent="0.3">
      <c r="A50" s="1" t="s">
        <v>111</v>
      </c>
      <c r="B50" s="1">
        <v>7</v>
      </c>
      <c r="C50" s="1" t="str">
        <f t="shared" si="0"/>
        <v>Passive</v>
      </c>
      <c r="D50" s="1">
        <v>3</v>
      </c>
      <c r="E50" s="1">
        <v>2</v>
      </c>
      <c r="F50" s="1">
        <v>2</v>
      </c>
      <c r="G50" s="1">
        <v>3</v>
      </c>
      <c r="H50" s="1">
        <v>3</v>
      </c>
      <c r="I50" s="1">
        <v>4</v>
      </c>
      <c r="J50" s="1">
        <v>3</v>
      </c>
      <c r="K50" s="1">
        <v>3</v>
      </c>
      <c r="L50" s="1">
        <v>4</v>
      </c>
      <c r="M50" s="1">
        <v>2</v>
      </c>
      <c r="N50" s="1">
        <v>2</v>
      </c>
      <c r="O50" s="1">
        <f t="shared" si="1"/>
        <v>50</v>
      </c>
      <c r="P50" s="1">
        <v>5</v>
      </c>
      <c r="Q50" s="3">
        <v>46231.431250000001</v>
      </c>
      <c r="R50" s="3">
        <v>46231.441666666673</v>
      </c>
      <c r="S50" s="9">
        <f t="shared" si="2"/>
        <v>15</v>
      </c>
      <c r="T50" s="1">
        <v>6</v>
      </c>
      <c r="U50" s="1">
        <v>1</v>
      </c>
      <c r="V50" s="1">
        <v>7</v>
      </c>
      <c r="W50" s="1">
        <v>1</v>
      </c>
      <c r="X50" s="1">
        <v>1</v>
      </c>
      <c r="Y50" s="1">
        <v>1</v>
      </c>
      <c r="Z50" t="str">
        <f t="shared" si="3"/>
        <v>Success</v>
      </c>
    </row>
    <row r="51" spans="1:26" x14ac:dyDescent="0.3">
      <c r="A51" s="1" t="s">
        <v>112</v>
      </c>
      <c r="B51" s="1">
        <v>8</v>
      </c>
      <c r="C51" s="1" t="str">
        <f t="shared" si="0"/>
        <v>Passive</v>
      </c>
      <c r="D51" s="1">
        <v>3</v>
      </c>
      <c r="E51" s="1">
        <v>4</v>
      </c>
      <c r="F51" s="1">
        <v>4</v>
      </c>
      <c r="G51" s="1">
        <v>4</v>
      </c>
      <c r="H51" s="1">
        <v>4</v>
      </c>
      <c r="I51" s="1">
        <v>4</v>
      </c>
      <c r="J51" s="1">
        <v>3</v>
      </c>
      <c r="K51" s="1">
        <v>5</v>
      </c>
      <c r="L51" s="1">
        <v>3</v>
      </c>
      <c r="M51" s="1">
        <v>5</v>
      </c>
      <c r="N51" s="1">
        <v>5</v>
      </c>
      <c r="O51" s="1">
        <f t="shared" si="1"/>
        <v>57.5</v>
      </c>
      <c r="P51" s="1">
        <v>5</v>
      </c>
      <c r="Q51" s="3">
        <v>46208.387499999997</v>
      </c>
      <c r="R51" s="3">
        <v>46208.402083333327</v>
      </c>
      <c r="S51" s="9">
        <f t="shared" si="2"/>
        <v>21</v>
      </c>
      <c r="T51" s="1">
        <v>4</v>
      </c>
      <c r="U51" s="1">
        <v>1</v>
      </c>
      <c r="V51" s="1">
        <v>6</v>
      </c>
      <c r="W51" s="1">
        <v>1</v>
      </c>
      <c r="X51" s="1">
        <v>1</v>
      </c>
      <c r="Y51" s="1">
        <v>1</v>
      </c>
      <c r="Z51" t="str">
        <f t="shared" si="3"/>
        <v>Success</v>
      </c>
    </row>
    <row r="52" spans="1:26" x14ac:dyDescent="0.3">
      <c r="A52" s="1" t="s">
        <v>113</v>
      </c>
      <c r="B52" s="1">
        <v>7</v>
      </c>
      <c r="C52" s="1" t="str">
        <f t="shared" si="0"/>
        <v>Passive</v>
      </c>
      <c r="D52" s="1">
        <v>4</v>
      </c>
      <c r="E52" s="1">
        <v>3</v>
      </c>
      <c r="F52" s="1">
        <v>3</v>
      </c>
      <c r="G52" s="1">
        <v>2</v>
      </c>
      <c r="H52" s="1">
        <v>3</v>
      </c>
      <c r="I52" s="1">
        <v>3</v>
      </c>
      <c r="J52" s="1">
        <v>2</v>
      </c>
      <c r="K52" s="1">
        <v>2</v>
      </c>
      <c r="L52" s="1">
        <v>3</v>
      </c>
      <c r="M52" s="1">
        <v>3</v>
      </c>
      <c r="N52" s="1">
        <v>2</v>
      </c>
      <c r="O52" s="1">
        <f t="shared" si="1"/>
        <v>50</v>
      </c>
      <c r="P52" s="1">
        <v>3</v>
      </c>
      <c r="Q52" s="3">
        <v>46221.47152777778</v>
      </c>
      <c r="R52" s="3">
        <v>46221.482638888891</v>
      </c>
      <c r="S52" s="9">
        <f t="shared" si="2"/>
        <v>16</v>
      </c>
      <c r="T52" s="1">
        <v>4</v>
      </c>
      <c r="U52" s="1">
        <v>1</v>
      </c>
      <c r="V52" s="1">
        <v>1</v>
      </c>
      <c r="W52" s="1">
        <v>0</v>
      </c>
      <c r="X52" s="1">
        <v>1</v>
      </c>
      <c r="Y52" s="1">
        <v>1</v>
      </c>
      <c r="Z52" t="str">
        <f t="shared" si="3"/>
        <v>Success</v>
      </c>
    </row>
    <row r="53" spans="1:26" x14ac:dyDescent="0.3">
      <c r="A53" s="1" t="s">
        <v>114</v>
      </c>
      <c r="B53" s="1">
        <v>10</v>
      </c>
      <c r="C53" s="1" t="str">
        <f t="shared" si="0"/>
        <v>Detractors</v>
      </c>
      <c r="D53" s="1">
        <v>5</v>
      </c>
      <c r="E53" s="1">
        <v>4</v>
      </c>
      <c r="F53" s="1">
        <v>5</v>
      </c>
      <c r="G53" s="1">
        <v>5</v>
      </c>
      <c r="H53" s="1">
        <v>3</v>
      </c>
      <c r="I53" s="1">
        <v>5</v>
      </c>
      <c r="J53" s="1">
        <v>4</v>
      </c>
      <c r="K53" s="1">
        <v>4</v>
      </c>
      <c r="L53" s="1">
        <v>5</v>
      </c>
      <c r="M53" s="1">
        <v>5</v>
      </c>
      <c r="N53" s="1">
        <v>5</v>
      </c>
      <c r="O53" s="1">
        <f t="shared" si="1"/>
        <v>52.5</v>
      </c>
      <c r="P53" s="1">
        <v>1</v>
      </c>
      <c r="Q53" s="3">
        <v>46220.453472222223</v>
      </c>
      <c r="R53" s="3">
        <v>46220.457638888889</v>
      </c>
      <c r="S53" s="9">
        <f t="shared" si="2"/>
        <v>6</v>
      </c>
      <c r="T53" s="1">
        <v>1</v>
      </c>
      <c r="U53" s="1">
        <v>0</v>
      </c>
      <c r="V53" s="1">
        <v>12</v>
      </c>
      <c r="W53" s="1">
        <v>1</v>
      </c>
      <c r="X53" s="1">
        <v>1</v>
      </c>
      <c r="Y53" s="1">
        <v>1</v>
      </c>
      <c r="Z53" t="str">
        <f t="shared" si="3"/>
        <v>Success</v>
      </c>
    </row>
    <row r="54" spans="1:26" x14ac:dyDescent="0.3">
      <c r="A54" s="1" t="s">
        <v>115</v>
      </c>
      <c r="B54" s="1">
        <v>10</v>
      </c>
      <c r="C54" s="1" t="str">
        <f t="shared" si="0"/>
        <v>Detractors</v>
      </c>
      <c r="D54" s="1">
        <v>5</v>
      </c>
      <c r="E54" s="1">
        <v>4</v>
      </c>
      <c r="F54" s="1">
        <v>4</v>
      </c>
      <c r="G54" s="1">
        <v>5</v>
      </c>
      <c r="H54" s="1">
        <v>3</v>
      </c>
      <c r="I54" s="1">
        <v>3</v>
      </c>
      <c r="J54" s="1">
        <v>3</v>
      </c>
      <c r="K54" s="1">
        <v>4</v>
      </c>
      <c r="L54" s="1">
        <v>4</v>
      </c>
      <c r="M54" s="1">
        <v>4</v>
      </c>
      <c r="N54" s="1">
        <v>3</v>
      </c>
      <c r="O54" s="1">
        <f t="shared" si="1"/>
        <v>57.5</v>
      </c>
      <c r="P54" s="1">
        <v>5</v>
      </c>
      <c r="Q54" s="3">
        <v>46208.644444444442</v>
      </c>
      <c r="R54" s="3">
        <v>46208.645833333343</v>
      </c>
      <c r="S54" s="9">
        <f t="shared" si="2"/>
        <v>2</v>
      </c>
      <c r="T54" s="1">
        <v>2</v>
      </c>
      <c r="U54" s="1">
        <v>1</v>
      </c>
      <c r="V54" s="1">
        <v>11</v>
      </c>
      <c r="W54" s="1">
        <v>1</v>
      </c>
      <c r="X54" s="1">
        <v>1</v>
      </c>
      <c r="Y54" s="1">
        <v>1</v>
      </c>
      <c r="Z54" t="str">
        <f t="shared" si="3"/>
        <v>Success</v>
      </c>
    </row>
    <row r="55" spans="1:26" x14ac:dyDescent="0.3">
      <c r="A55" s="1" t="s">
        <v>116</v>
      </c>
      <c r="B55" s="1">
        <v>10</v>
      </c>
      <c r="C55" s="1" t="str">
        <f t="shared" si="0"/>
        <v>Detractors</v>
      </c>
      <c r="D55" s="1">
        <v>5</v>
      </c>
      <c r="E55" s="1">
        <v>5</v>
      </c>
      <c r="F55" s="1">
        <v>4</v>
      </c>
      <c r="G55" s="1">
        <v>4</v>
      </c>
      <c r="H55" s="1">
        <v>5</v>
      </c>
      <c r="I55" s="1">
        <v>4</v>
      </c>
      <c r="J55" s="1">
        <v>4</v>
      </c>
      <c r="K55" s="1">
        <v>4</v>
      </c>
      <c r="L55" s="1">
        <v>4</v>
      </c>
      <c r="M55" s="1">
        <v>4</v>
      </c>
      <c r="N55" s="1">
        <v>5</v>
      </c>
      <c r="O55" s="1">
        <f t="shared" si="1"/>
        <v>47.5</v>
      </c>
      <c r="P55" s="1">
        <v>2</v>
      </c>
      <c r="Q55" s="3">
        <v>46215.48333333333</v>
      </c>
      <c r="R55" s="3">
        <v>46215.48541666667</v>
      </c>
      <c r="S55" s="9">
        <f t="shared" si="2"/>
        <v>3</v>
      </c>
      <c r="T55" s="1">
        <v>1</v>
      </c>
      <c r="U55" s="1">
        <v>1</v>
      </c>
      <c r="V55" s="1">
        <v>12</v>
      </c>
      <c r="W55" s="1">
        <v>1</v>
      </c>
      <c r="X55" s="1">
        <v>1</v>
      </c>
      <c r="Y55" s="1">
        <v>1</v>
      </c>
      <c r="Z55" t="str">
        <f t="shared" si="3"/>
        <v>Success</v>
      </c>
    </row>
    <row r="56" spans="1:26" x14ac:dyDescent="0.3">
      <c r="A56" s="1" t="s">
        <v>117</v>
      </c>
      <c r="B56" s="1">
        <v>2</v>
      </c>
      <c r="C56" s="1" t="str">
        <f t="shared" si="0"/>
        <v>Passive</v>
      </c>
      <c r="D56" s="1">
        <v>1</v>
      </c>
      <c r="E56" s="1">
        <v>1</v>
      </c>
      <c r="F56" s="1">
        <v>1</v>
      </c>
      <c r="G56" s="1">
        <v>2</v>
      </c>
      <c r="H56" s="1">
        <v>1</v>
      </c>
      <c r="I56" s="1">
        <v>2</v>
      </c>
      <c r="J56" s="1">
        <v>1</v>
      </c>
      <c r="K56" s="1">
        <v>1</v>
      </c>
      <c r="L56" s="1">
        <v>2</v>
      </c>
      <c r="M56" s="1">
        <v>1</v>
      </c>
      <c r="N56" s="1">
        <v>1</v>
      </c>
      <c r="O56" s="1">
        <f t="shared" si="1"/>
        <v>52.5</v>
      </c>
      <c r="P56" s="1">
        <v>6</v>
      </c>
      <c r="Q56" s="3">
        <v>46227.547222222223</v>
      </c>
      <c r="R56" s="3">
        <v>46227.5625</v>
      </c>
      <c r="S56" s="9">
        <f t="shared" si="2"/>
        <v>22</v>
      </c>
      <c r="T56" s="1">
        <v>7</v>
      </c>
      <c r="U56" s="1">
        <v>1</v>
      </c>
      <c r="V56" s="1">
        <v>4</v>
      </c>
      <c r="W56" s="1">
        <v>1</v>
      </c>
      <c r="X56" s="1">
        <v>1</v>
      </c>
      <c r="Y56" s="1">
        <v>1</v>
      </c>
      <c r="Z56" t="str">
        <f t="shared" si="3"/>
        <v>Success</v>
      </c>
    </row>
    <row r="57" spans="1:26" x14ac:dyDescent="0.3">
      <c r="A57" s="1" t="s">
        <v>118</v>
      </c>
      <c r="B57" s="1">
        <v>9</v>
      </c>
      <c r="C57" s="1" t="str">
        <f t="shared" si="0"/>
        <v>Detractors</v>
      </c>
      <c r="D57" s="1">
        <v>4</v>
      </c>
      <c r="E57" s="1">
        <v>3</v>
      </c>
      <c r="F57" s="1">
        <v>4</v>
      </c>
      <c r="G57" s="1">
        <v>4</v>
      </c>
      <c r="H57" s="1">
        <v>4</v>
      </c>
      <c r="I57" s="1">
        <v>5</v>
      </c>
      <c r="J57" s="1">
        <v>4</v>
      </c>
      <c r="K57" s="1">
        <v>4</v>
      </c>
      <c r="L57" s="1">
        <v>4</v>
      </c>
      <c r="M57" s="1">
        <v>2</v>
      </c>
      <c r="N57" s="1">
        <v>4</v>
      </c>
      <c r="O57" s="1">
        <f t="shared" si="1"/>
        <v>45</v>
      </c>
      <c r="P57" s="1">
        <v>4</v>
      </c>
      <c r="Q57" s="3">
        <v>46215.62222222222</v>
      </c>
      <c r="R57" s="3">
        <v>46215.62777777778</v>
      </c>
      <c r="S57" s="9">
        <f t="shared" si="2"/>
        <v>8</v>
      </c>
      <c r="T57" s="1">
        <v>3</v>
      </c>
      <c r="U57" s="1">
        <v>1</v>
      </c>
      <c r="V57" s="1">
        <v>9</v>
      </c>
      <c r="W57" s="1">
        <v>1</v>
      </c>
      <c r="X57" s="1">
        <v>1</v>
      </c>
      <c r="Y57" s="1">
        <v>1</v>
      </c>
      <c r="Z57" t="str">
        <f t="shared" si="3"/>
        <v>Success</v>
      </c>
    </row>
    <row r="58" spans="1:26" x14ac:dyDescent="0.3">
      <c r="A58" s="1" t="s">
        <v>119</v>
      </c>
      <c r="B58" s="1">
        <v>8</v>
      </c>
      <c r="C58" s="1" t="str">
        <f t="shared" si="0"/>
        <v>Passive</v>
      </c>
      <c r="D58" s="1">
        <v>3</v>
      </c>
      <c r="E58" s="1">
        <v>4</v>
      </c>
      <c r="F58" s="1">
        <v>3</v>
      </c>
      <c r="G58" s="1">
        <v>3</v>
      </c>
      <c r="H58" s="1">
        <v>3</v>
      </c>
      <c r="I58" s="1">
        <v>3</v>
      </c>
      <c r="J58" s="1">
        <v>4</v>
      </c>
      <c r="K58" s="1">
        <v>2</v>
      </c>
      <c r="L58" s="1">
        <v>4</v>
      </c>
      <c r="M58" s="1">
        <v>4</v>
      </c>
      <c r="N58" s="1">
        <v>4</v>
      </c>
      <c r="O58" s="1">
        <f t="shared" si="1"/>
        <v>45</v>
      </c>
      <c r="P58" s="1">
        <v>4</v>
      </c>
      <c r="Q58" s="3">
        <v>46218.365277777782</v>
      </c>
      <c r="R58" s="3">
        <v>46218.372916666667</v>
      </c>
      <c r="S58" s="9">
        <f t="shared" si="2"/>
        <v>11</v>
      </c>
      <c r="T58" s="1">
        <v>4</v>
      </c>
      <c r="U58" s="1">
        <v>0</v>
      </c>
      <c r="V58" s="1">
        <v>9</v>
      </c>
      <c r="W58" s="1">
        <v>1</v>
      </c>
      <c r="X58" s="1">
        <v>0</v>
      </c>
      <c r="Y58" s="1">
        <v>1</v>
      </c>
      <c r="Z58" t="str">
        <f t="shared" si="3"/>
        <v>Success</v>
      </c>
    </row>
    <row r="59" spans="1:26" x14ac:dyDescent="0.3">
      <c r="A59" s="1" t="s">
        <v>120</v>
      </c>
      <c r="B59" s="1">
        <v>6</v>
      </c>
      <c r="C59" s="1" t="str">
        <f t="shared" si="0"/>
        <v>Passive</v>
      </c>
      <c r="D59" s="1">
        <v>3</v>
      </c>
      <c r="E59" s="1">
        <v>2</v>
      </c>
      <c r="F59" s="1">
        <v>3</v>
      </c>
      <c r="G59" s="1">
        <v>3</v>
      </c>
      <c r="H59" s="1">
        <v>3</v>
      </c>
      <c r="I59" s="1">
        <v>2</v>
      </c>
      <c r="J59" s="1">
        <v>2</v>
      </c>
      <c r="K59" s="1">
        <v>3</v>
      </c>
      <c r="L59" s="1">
        <v>2</v>
      </c>
      <c r="M59" s="1">
        <v>2</v>
      </c>
      <c r="N59" s="1">
        <v>3</v>
      </c>
      <c r="O59" s="1">
        <f t="shared" si="1"/>
        <v>47.5</v>
      </c>
      <c r="P59" s="1">
        <v>4</v>
      </c>
      <c r="Q59" s="3">
        <v>46228.4</v>
      </c>
      <c r="R59" s="3">
        <v>46228.407638888893</v>
      </c>
      <c r="S59" s="9">
        <f t="shared" si="2"/>
        <v>11</v>
      </c>
      <c r="T59" s="1">
        <v>6</v>
      </c>
      <c r="U59" s="1">
        <v>4</v>
      </c>
      <c r="V59" s="1">
        <v>6</v>
      </c>
      <c r="W59" s="1">
        <v>0</v>
      </c>
      <c r="X59" s="1">
        <v>1</v>
      </c>
      <c r="Y59" s="1">
        <v>0</v>
      </c>
      <c r="Z59" t="str">
        <f t="shared" si="3"/>
        <v>Failure</v>
      </c>
    </row>
    <row r="60" spans="1:26" x14ac:dyDescent="0.3">
      <c r="A60" s="1" t="s">
        <v>121</v>
      </c>
      <c r="B60" s="1">
        <v>6</v>
      </c>
      <c r="C60" s="1" t="str">
        <f t="shared" si="0"/>
        <v>Passive</v>
      </c>
      <c r="D60" s="1">
        <v>3</v>
      </c>
      <c r="E60" s="1">
        <v>3</v>
      </c>
      <c r="F60" s="1">
        <v>3</v>
      </c>
      <c r="G60" s="1">
        <v>3</v>
      </c>
      <c r="H60" s="1">
        <v>3</v>
      </c>
      <c r="I60" s="1">
        <v>4</v>
      </c>
      <c r="J60" s="1">
        <v>4</v>
      </c>
      <c r="K60" s="1">
        <v>4</v>
      </c>
      <c r="L60" s="1">
        <v>3</v>
      </c>
      <c r="M60" s="1">
        <v>5</v>
      </c>
      <c r="N60" s="1">
        <v>3</v>
      </c>
      <c r="O60" s="1">
        <f t="shared" si="1"/>
        <v>57.5</v>
      </c>
      <c r="P60" s="1">
        <v>3</v>
      </c>
      <c r="Q60" s="3">
        <v>46225.572916666657</v>
      </c>
      <c r="R60" s="3">
        <v>46225.581944444442</v>
      </c>
      <c r="S60" s="9">
        <f t="shared" si="2"/>
        <v>13</v>
      </c>
      <c r="T60" s="1">
        <v>5</v>
      </c>
      <c r="U60" s="1">
        <v>0</v>
      </c>
      <c r="V60" s="1">
        <v>6</v>
      </c>
      <c r="W60" s="1">
        <v>1</v>
      </c>
      <c r="X60" s="1">
        <v>1</v>
      </c>
      <c r="Y60" s="1">
        <v>1</v>
      </c>
      <c r="Z60" t="str">
        <f t="shared" si="3"/>
        <v>Success</v>
      </c>
    </row>
    <row r="61" spans="1:26" x14ac:dyDescent="0.3">
      <c r="A61" s="1" t="s">
        <v>122</v>
      </c>
      <c r="B61" s="1">
        <v>5</v>
      </c>
      <c r="C61" s="1" t="str">
        <f t="shared" si="0"/>
        <v>Passive</v>
      </c>
      <c r="D61" s="1">
        <v>3</v>
      </c>
      <c r="E61" s="1">
        <v>2</v>
      </c>
      <c r="F61" s="1">
        <v>3</v>
      </c>
      <c r="G61" s="1">
        <v>2</v>
      </c>
      <c r="H61" s="1">
        <v>2</v>
      </c>
      <c r="I61" s="1">
        <v>2</v>
      </c>
      <c r="J61" s="1">
        <v>1</v>
      </c>
      <c r="K61" s="1">
        <v>5</v>
      </c>
      <c r="L61" s="1">
        <v>2</v>
      </c>
      <c r="M61" s="1">
        <v>2</v>
      </c>
      <c r="N61" s="1">
        <v>3</v>
      </c>
      <c r="O61" s="1">
        <f t="shared" si="1"/>
        <v>55</v>
      </c>
      <c r="P61" s="1">
        <v>4</v>
      </c>
      <c r="Q61" s="3">
        <v>46206.430555555547</v>
      </c>
      <c r="R61" s="3">
        <v>46206.435416666667</v>
      </c>
      <c r="S61" s="9">
        <f t="shared" si="2"/>
        <v>7</v>
      </c>
      <c r="T61" s="1">
        <v>4</v>
      </c>
      <c r="U61" s="1">
        <v>0</v>
      </c>
      <c r="V61" s="1">
        <v>2</v>
      </c>
      <c r="W61" s="1">
        <v>1</v>
      </c>
      <c r="X61" s="1">
        <v>1</v>
      </c>
      <c r="Y61" s="1">
        <v>0</v>
      </c>
      <c r="Z61" t="str">
        <f t="shared" si="3"/>
        <v>Failure</v>
      </c>
    </row>
    <row r="62" spans="1:26" x14ac:dyDescent="0.3">
      <c r="A62" s="1" t="s">
        <v>123</v>
      </c>
      <c r="B62" s="1">
        <v>5</v>
      </c>
      <c r="C62" s="1" t="str">
        <f t="shared" si="0"/>
        <v>Passive</v>
      </c>
      <c r="D62" s="1">
        <v>3</v>
      </c>
      <c r="E62" s="1">
        <v>2</v>
      </c>
      <c r="F62" s="1">
        <v>2</v>
      </c>
      <c r="G62" s="1">
        <v>1</v>
      </c>
      <c r="H62" s="1">
        <v>3</v>
      </c>
      <c r="I62" s="1">
        <v>1</v>
      </c>
      <c r="J62" s="1">
        <v>3</v>
      </c>
      <c r="K62" s="1">
        <v>3</v>
      </c>
      <c r="L62" s="1">
        <v>1</v>
      </c>
      <c r="M62" s="1">
        <v>2</v>
      </c>
      <c r="N62" s="1">
        <v>3</v>
      </c>
      <c r="O62" s="1">
        <f t="shared" si="1"/>
        <v>42.5</v>
      </c>
      <c r="P62" s="1">
        <v>6</v>
      </c>
      <c r="Q62" s="3">
        <v>46221.505555555559</v>
      </c>
      <c r="R62" s="3">
        <v>46221.513888888891</v>
      </c>
      <c r="S62" s="9">
        <f t="shared" si="2"/>
        <v>12</v>
      </c>
      <c r="T62" s="1">
        <v>5</v>
      </c>
      <c r="U62" s="1">
        <v>2</v>
      </c>
      <c r="V62" s="1">
        <v>1</v>
      </c>
      <c r="W62" s="1">
        <v>1</v>
      </c>
      <c r="X62" s="1">
        <v>0</v>
      </c>
      <c r="Y62" s="1">
        <v>1</v>
      </c>
      <c r="Z62" t="str">
        <f t="shared" si="3"/>
        <v>Success</v>
      </c>
    </row>
    <row r="63" spans="1:26" x14ac:dyDescent="0.3">
      <c r="A63" s="1" t="s">
        <v>124</v>
      </c>
      <c r="B63" s="1">
        <v>5</v>
      </c>
      <c r="C63" s="1" t="str">
        <f t="shared" si="0"/>
        <v>Passive</v>
      </c>
      <c r="D63" s="1">
        <v>3</v>
      </c>
      <c r="E63" s="1">
        <v>2</v>
      </c>
      <c r="F63" s="1">
        <v>2</v>
      </c>
      <c r="G63" s="1">
        <v>3</v>
      </c>
      <c r="H63" s="1">
        <v>1</v>
      </c>
      <c r="I63" s="1">
        <v>2</v>
      </c>
      <c r="J63" s="1">
        <v>3</v>
      </c>
      <c r="K63" s="1">
        <v>2</v>
      </c>
      <c r="L63" s="1">
        <v>1</v>
      </c>
      <c r="M63" s="1">
        <v>2</v>
      </c>
      <c r="N63" s="1">
        <v>2</v>
      </c>
      <c r="O63" s="1">
        <f t="shared" si="1"/>
        <v>55</v>
      </c>
      <c r="P63" s="1">
        <v>6</v>
      </c>
      <c r="Q63" s="3">
        <v>46229.767361111109</v>
      </c>
      <c r="R63" s="3">
        <v>46229.77847222222</v>
      </c>
      <c r="S63" s="9">
        <f t="shared" si="2"/>
        <v>16</v>
      </c>
      <c r="T63" s="1">
        <v>5</v>
      </c>
      <c r="U63" s="1">
        <v>2</v>
      </c>
      <c r="V63" s="1">
        <v>4</v>
      </c>
      <c r="W63" s="1">
        <v>1</v>
      </c>
      <c r="X63" s="1">
        <v>0</v>
      </c>
      <c r="Y63" s="1">
        <v>0</v>
      </c>
      <c r="Z63" t="str">
        <f t="shared" si="3"/>
        <v>Failure</v>
      </c>
    </row>
    <row r="64" spans="1:26" x14ac:dyDescent="0.3">
      <c r="A64" s="1" t="s">
        <v>125</v>
      </c>
      <c r="B64" s="1">
        <v>8</v>
      </c>
      <c r="C64" s="1" t="str">
        <f t="shared" si="0"/>
        <v>Passive</v>
      </c>
      <c r="D64" s="1">
        <v>5</v>
      </c>
      <c r="E64" s="1">
        <v>4</v>
      </c>
      <c r="F64" s="1">
        <v>4</v>
      </c>
      <c r="G64" s="1">
        <v>4</v>
      </c>
      <c r="H64" s="1">
        <v>5</v>
      </c>
      <c r="I64" s="1">
        <v>4</v>
      </c>
      <c r="J64" s="1">
        <v>5</v>
      </c>
      <c r="K64" s="1">
        <v>4</v>
      </c>
      <c r="L64" s="1">
        <v>5</v>
      </c>
      <c r="M64" s="1">
        <v>4</v>
      </c>
      <c r="N64" s="1">
        <v>4</v>
      </c>
      <c r="O64" s="1">
        <f t="shared" si="1"/>
        <v>42.5</v>
      </c>
      <c r="P64" s="1">
        <v>3</v>
      </c>
      <c r="Q64" s="3">
        <v>46231.452777777777</v>
      </c>
      <c r="R64" s="3">
        <v>46231.45416666667</v>
      </c>
      <c r="S64" s="9">
        <f t="shared" si="2"/>
        <v>2</v>
      </c>
      <c r="T64" s="1">
        <v>5</v>
      </c>
      <c r="U64" s="1">
        <v>0</v>
      </c>
      <c r="V64" s="1">
        <v>9</v>
      </c>
      <c r="W64" s="1">
        <v>1</v>
      </c>
      <c r="X64" s="1">
        <v>1</v>
      </c>
      <c r="Y64" s="1">
        <v>1</v>
      </c>
      <c r="Z64" t="str">
        <f t="shared" si="3"/>
        <v>Success</v>
      </c>
    </row>
    <row r="65" spans="1:26" x14ac:dyDescent="0.3">
      <c r="A65" s="1" t="s">
        <v>126</v>
      </c>
      <c r="B65" s="1">
        <v>8</v>
      </c>
      <c r="C65" s="1" t="str">
        <f t="shared" si="0"/>
        <v>Passive</v>
      </c>
      <c r="D65" s="1">
        <v>4</v>
      </c>
      <c r="E65" s="1">
        <v>4</v>
      </c>
      <c r="F65" s="1">
        <v>4</v>
      </c>
      <c r="G65" s="1">
        <v>3</v>
      </c>
      <c r="H65" s="1">
        <v>3</v>
      </c>
      <c r="I65" s="1">
        <v>3</v>
      </c>
      <c r="J65" s="1">
        <v>4</v>
      </c>
      <c r="K65" s="1">
        <v>3</v>
      </c>
      <c r="L65" s="1">
        <v>4</v>
      </c>
      <c r="M65" s="1">
        <v>3</v>
      </c>
      <c r="N65" s="1">
        <v>3</v>
      </c>
      <c r="O65" s="1">
        <f t="shared" si="1"/>
        <v>45</v>
      </c>
      <c r="P65" s="1">
        <v>5</v>
      </c>
      <c r="Q65" s="3">
        <v>46216.35833333333</v>
      </c>
      <c r="R65" s="3">
        <v>46216.361805555563</v>
      </c>
      <c r="S65" s="9">
        <f t="shared" si="2"/>
        <v>5</v>
      </c>
      <c r="T65" s="1">
        <v>3</v>
      </c>
      <c r="U65" s="1">
        <v>0</v>
      </c>
      <c r="V65" s="1">
        <v>6</v>
      </c>
      <c r="W65" s="1">
        <v>1</v>
      </c>
      <c r="X65" s="1">
        <v>0</v>
      </c>
      <c r="Y65" s="1">
        <v>1</v>
      </c>
      <c r="Z65" t="str">
        <f t="shared" si="3"/>
        <v>Success</v>
      </c>
    </row>
    <row r="66" spans="1:26" x14ac:dyDescent="0.3">
      <c r="A66" s="1" t="s">
        <v>127</v>
      </c>
      <c r="B66" s="1">
        <v>6</v>
      </c>
      <c r="C66" s="1" t="str">
        <f t="shared" si="0"/>
        <v>Passive</v>
      </c>
      <c r="D66" s="1">
        <v>4</v>
      </c>
      <c r="E66" s="1">
        <v>4</v>
      </c>
      <c r="F66" s="1">
        <v>3</v>
      </c>
      <c r="G66" s="1">
        <v>3</v>
      </c>
      <c r="H66" s="1">
        <v>3</v>
      </c>
      <c r="I66" s="1">
        <v>2</v>
      </c>
      <c r="J66" s="1">
        <v>3</v>
      </c>
      <c r="K66" s="1">
        <v>3</v>
      </c>
      <c r="L66" s="1">
        <v>3</v>
      </c>
      <c r="M66" s="1">
        <v>3</v>
      </c>
      <c r="N66" s="1">
        <v>2</v>
      </c>
      <c r="O66" s="1">
        <f t="shared" si="1"/>
        <v>52.5</v>
      </c>
      <c r="P66" s="1">
        <v>5</v>
      </c>
      <c r="Q66" s="3">
        <v>46220.631249999999</v>
      </c>
      <c r="R66" s="3">
        <v>46220.636111111111</v>
      </c>
      <c r="S66" s="9">
        <f t="shared" si="2"/>
        <v>7</v>
      </c>
      <c r="T66" s="1">
        <v>4</v>
      </c>
      <c r="U66" s="1">
        <v>1</v>
      </c>
      <c r="V66" s="1">
        <v>5</v>
      </c>
      <c r="W66" s="1">
        <v>1</v>
      </c>
      <c r="X66" s="1">
        <v>0</v>
      </c>
      <c r="Y66" s="1">
        <v>1</v>
      </c>
      <c r="Z66" t="str">
        <f t="shared" si="3"/>
        <v>Success</v>
      </c>
    </row>
    <row r="67" spans="1:26" x14ac:dyDescent="0.3">
      <c r="A67" s="1" t="s">
        <v>128</v>
      </c>
      <c r="B67" s="1">
        <v>5</v>
      </c>
      <c r="C67" s="1" t="str">
        <f t="shared" ref="C67:C101" si="4">IF(B67&gt;=9,"Detractors",IF(B67&lt;=8,"Passive","Pro"))</f>
        <v>Passive</v>
      </c>
      <c r="D67" s="1">
        <v>3</v>
      </c>
      <c r="E67" s="1">
        <v>2</v>
      </c>
      <c r="F67" s="1">
        <v>2</v>
      </c>
      <c r="G67" s="1">
        <v>1</v>
      </c>
      <c r="H67" s="1">
        <v>2</v>
      </c>
      <c r="I67" s="1">
        <v>2</v>
      </c>
      <c r="J67" s="1">
        <v>2</v>
      </c>
      <c r="K67" s="1">
        <v>2</v>
      </c>
      <c r="L67" s="1">
        <v>3</v>
      </c>
      <c r="M67" s="1">
        <v>3</v>
      </c>
      <c r="N67" s="1">
        <v>4</v>
      </c>
      <c r="O67" s="1">
        <f t="shared" ref="O67:O101" si="5">SUM(E67-1,5-F67,G67-1,5-H67,I67-1,5-J67,K67-1,5-L67,M67-1,5-N67)*2.5</f>
        <v>42.5</v>
      </c>
      <c r="P67" s="1">
        <v>5</v>
      </c>
      <c r="Q67" s="3">
        <v>46228.73333333333</v>
      </c>
      <c r="R67" s="3">
        <v>46228.740277777782</v>
      </c>
      <c r="S67" s="9">
        <f t="shared" ref="S67:S101" si="6">ROUND(((R67-Q67)*1440), 0)</f>
        <v>10</v>
      </c>
      <c r="T67" s="1">
        <v>5</v>
      </c>
      <c r="U67" s="1">
        <v>0</v>
      </c>
      <c r="V67" s="1">
        <v>5</v>
      </c>
      <c r="W67" s="1">
        <v>0</v>
      </c>
      <c r="X67" s="1">
        <v>1</v>
      </c>
      <c r="Y67" s="1">
        <v>1</v>
      </c>
      <c r="Z67" t="str">
        <f t="shared" ref="Z67:Z101" si="7">IF(Y67=1,"Success","Failure")</f>
        <v>Success</v>
      </c>
    </row>
    <row r="68" spans="1:26" x14ac:dyDescent="0.3">
      <c r="A68" s="1" t="s">
        <v>129</v>
      </c>
      <c r="B68" s="1">
        <v>8</v>
      </c>
      <c r="C68" s="1" t="str">
        <f t="shared" si="4"/>
        <v>Passive</v>
      </c>
      <c r="D68" s="1">
        <v>4</v>
      </c>
      <c r="E68" s="1">
        <v>4</v>
      </c>
      <c r="F68" s="1">
        <v>4</v>
      </c>
      <c r="G68" s="1">
        <v>3</v>
      </c>
      <c r="H68" s="1">
        <v>4</v>
      </c>
      <c r="I68" s="1">
        <v>3</v>
      </c>
      <c r="J68" s="1">
        <v>4</v>
      </c>
      <c r="K68" s="1">
        <v>4</v>
      </c>
      <c r="L68" s="1">
        <v>3</v>
      </c>
      <c r="M68" s="1">
        <v>3</v>
      </c>
      <c r="N68" s="1">
        <v>4</v>
      </c>
      <c r="O68" s="1">
        <f t="shared" si="5"/>
        <v>45</v>
      </c>
      <c r="P68" s="1">
        <v>3</v>
      </c>
      <c r="Q68" s="3">
        <v>46225.647916666669</v>
      </c>
      <c r="R68" s="3">
        <v>46225.649305555547</v>
      </c>
      <c r="S68" s="9">
        <f t="shared" si="6"/>
        <v>2</v>
      </c>
      <c r="T68" s="1">
        <v>6</v>
      </c>
      <c r="U68" s="1">
        <v>0</v>
      </c>
      <c r="V68" s="1">
        <v>9</v>
      </c>
      <c r="W68" s="1">
        <v>1</v>
      </c>
      <c r="X68" s="1">
        <v>0</v>
      </c>
      <c r="Y68" s="1">
        <v>1</v>
      </c>
      <c r="Z68" t="str">
        <f t="shared" si="7"/>
        <v>Success</v>
      </c>
    </row>
    <row r="69" spans="1:26" x14ac:dyDescent="0.3">
      <c r="A69" s="1" t="s">
        <v>130</v>
      </c>
      <c r="B69" s="1">
        <v>5</v>
      </c>
      <c r="C69" s="1" t="str">
        <f t="shared" si="4"/>
        <v>Passive</v>
      </c>
      <c r="D69" s="1">
        <v>4</v>
      </c>
      <c r="E69" s="1">
        <v>3</v>
      </c>
      <c r="F69" s="1">
        <v>2</v>
      </c>
      <c r="G69" s="1">
        <v>2</v>
      </c>
      <c r="H69" s="1">
        <v>2</v>
      </c>
      <c r="I69" s="1">
        <v>3</v>
      </c>
      <c r="J69" s="1">
        <v>1</v>
      </c>
      <c r="K69" s="1">
        <v>2</v>
      </c>
      <c r="L69" s="1">
        <v>3</v>
      </c>
      <c r="M69" s="1">
        <v>2</v>
      </c>
      <c r="N69" s="1">
        <v>2</v>
      </c>
      <c r="O69" s="1">
        <f t="shared" si="5"/>
        <v>55</v>
      </c>
      <c r="P69" s="1">
        <v>6</v>
      </c>
      <c r="Q69" s="3">
        <v>46232.619444444441</v>
      </c>
      <c r="R69" s="3">
        <v>46232.625694444447</v>
      </c>
      <c r="S69" s="9">
        <f t="shared" si="6"/>
        <v>9</v>
      </c>
      <c r="T69" s="1">
        <v>4</v>
      </c>
      <c r="U69" s="1">
        <v>3</v>
      </c>
      <c r="V69" s="1">
        <v>8</v>
      </c>
      <c r="W69" s="1">
        <v>0</v>
      </c>
      <c r="X69" s="1">
        <v>1</v>
      </c>
      <c r="Y69" s="1">
        <v>1</v>
      </c>
      <c r="Z69" t="str">
        <f t="shared" si="7"/>
        <v>Success</v>
      </c>
    </row>
    <row r="70" spans="1:26" x14ac:dyDescent="0.3">
      <c r="A70" s="1" t="s">
        <v>131</v>
      </c>
      <c r="B70" s="1">
        <v>10</v>
      </c>
      <c r="C70" s="1" t="str">
        <f t="shared" si="4"/>
        <v>Detractors</v>
      </c>
      <c r="D70" s="1">
        <v>4</v>
      </c>
      <c r="E70" s="1">
        <v>3</v>
      </c>
      <c r="F70" s="1">
        <v>4</v>
      </c>
      <c r="G70" s="1">
        <v>3</v>
      </c>
      <c r="H70" s="1">
        <v>3</v>
      </c>
      <c r="I70" s="1">
        <v>5</v>
      </c>
      <c r="J70" s="1">
        <v>4</v>
      </c>
      <c r="K70" s="1">
        <v>4</v>
      </c>
      <c r="L70" s="1">
        <v>4</v>
      </c>
      <c r="M70" s="1">
        <v>4</v>
      </c>
      <c r="N70" s="1">
        <v>4</v>
      </c>
      <c r="O70" s="1">
        <f t="shared" si="5"/>
        <v>50</v>
      </c>
      <c r="P70" s="1">
        <v>4</v>
      </c>
      <c r="Q70" s="3">
        <v>46219.404861111107</v>
      </c>
      <c r="R70" s="3">
        <v>46219.410416666673</v>
      </c>
      <c r="S70" s="9">
        <f t="shared" si="6"/>
        <v>8</v>
      </c>
      <c r="T70" s="1">
        <v>4</v>
      </c>
      <c r="U70" s="1">
        <v>0</v>
      </c>
      <c r="V70" s="1">
        <v>9</v>
      </c>
      <c r="W70" s="1">
        <v>1</v>
      </c>
      <c r="X70" s="1">
        <v>0</v>
      </c>
      <c r="Y70" s="1">
        <v>1</v>
      </c>
      <c r="Z70" t="str">
        <f t="shared" si="7"/>
        <v>Success</v>
      </c>
    </row>
    <row r="71" spans="1:26" x14ac:dyDescent="0.3">
      <c r="A71" s="1" t="s">
        <v>132</v>
      </c>
      <c r="B71" s="1">
        <v>4</v>
      </c>
      <c r="C71" s="1" t="str">
        <f t="shared" si="4"/>
        <v>Passive</v>
      </c>
      <c r="D71" s="1">
        <v>2</v>
      </c>
      <c r="E71" s="1">
        <v>3</v>
      </c>
      <c r="F71" s="1">
        <v>2</v>
      </c>
      <c r="G71" s="1">
        <v>2</v>
      </c>
      <c r="H71" s="1">
        <v>4</v>
      </c>
      <c r="I71" s="1">
        <v>2</v>
      </c>
      <c r="J71" s="1">
        <v>3</v>
      </c>
      <c r="K71" s="1">
        <v>4</v>
      </c>
      <c r="L71" s="1">
        <v>3</v>
      </c>
      <c r="M71" s="1">
        <v>4</v>
      </c>
      <c r="N71" s="1">
        <v>3</v>
      </c>
      <c r="O71" s="1">
        <f t="shared" si="5"/>
        <v>50</v>
      </c>
      <c r="P71" s="1">
        <v>5</v>
      </c>
      <c r="Q71" s="3">
        <v>46219.457638888889</v>
      </c>
      <c r="R71" s="3">
        <v>46219.465277777781</v>
      </c>
      <c r="S71" s="9">
        <f t="shared" si="6"/>
        <v>11</v>
      </c>
      <c r="T71" s="1">
        <v>5</v>
      </c>
      <c r="U71" s="1">
        <v>3</v>
      </c>
      <c r="V71" s="1">
        <v>1</v>
      </c>
      <c r="W71" s="1">
        <v>1</v>
      </c>
      <c r="X71" s="1">
        <v>1</v>
      </c>
      <c r="Y71" s="1">
        <v>1</v>
      </c>
      <c r="Z71" t="str">
        <f t="shared" si="7"/>
        <v>Success</v>
      </c>
    </row>
    <row r="72" spans="1:26" x14ac:dyDescent="0.3">
      <c r="A72" s="1" t="s">
        <v>133</v>
      </c>
      <c r="B72" s="1">
        <v>3</v>
      </c>
      <c r="C72" s="1" t="str">
        <f t="shared" si="4"/>
        <v>Passive</v>
      </c>
      <c r="D72" s="1">
        <v>3</v>
      </c>
      <c r="E72" s="1">
        <v>2</v>
      </c>
      <c r="F72" s="1">
        <v>3</v>
      </c>
      <c r="G72" s="1">
        <v>1</v>
      </c>
      <c r="H72" s="1">
        <v>3</v>
      </c>
      <c r="I72" s="1">
        <v>1</v>
      </c>
      <c r="J72" s="1">
        <v>1</v>
      </c>
      <c r="K72" s="1">
        <v>2</v>
      </c>
      <c r="L72" s="1">
        <v>2</v>
      </c>
      <c r="M72" s="1">
        <v>1</v>
      </c>
      <c r="N72" s="1">
        <v>3</v>
      </c>
      <c r="O72" s="1">
        <f t="shared" si="5"/>
        <v>37.5</v>
      </c>
      <c r="P72" s="1">
        <v>6</v>
      </c>
      <c r="Q72" s="3">
        <v>46210.443749999999</v>
      </c>
      <c r="R72" s="3">
        <v>46210.456944444442</v>
      </c>
      <c r="S72" s="9">
        <f t="shared" si="6"/>
        <v>19</v>
      </c>
      <c r="T72" s="1">
        <v>4</v>
      </c>
      <c r="U72" s="1">
        <v>1</v>
      </c>
      <c r="V72" s="1">
        <v>2</v>
      </c>
      <c r="W72" s="1">
        <v>1</v>
      </c>
      <c r="X72" s="1">
        <v>1</v>
      </c>
      <c r="Y72" s="1">
        <v>1</v>
      </c>
      <c r="Z72" t="str">
        <f t="shared" si="7"/>
        <v>Success</v>
      </c>
    </row>
    <row r="73" spans="1:26" x14ac:dyDescent="0.3">
      <c r="A73" s="1" t="s">
        <v>134</v>
      </c>
      <c r="B73" s="1">
        <v>8</v>
      </c>
      <c r="C73" s="1" t="str">
        <f t="shared" si="4"/>
        <v>Passive</v>
      </c>
      <c r="D73" s="1">
        <v>5</v>
      </c>
      <c r="E73" s="1">
        <v>3</v>
      </c>
      <c r="F73" s="1">
        <v>4</v>
      </c>
      <c r="G73" s="1">
        <v>3</v>
      </c>
      <c r="H73" s="1">
        <v>3</v>
      </c>
      <c r="I73" s="1">
        <v>3</v>
      </c>
      <c r="J73" s="1">
        <v>4</v>
      </c>
      <c r="K73" s="1">
        <v>4</v>
      </c>
      <c r="L73" s="1">
        <v>3</v>
      </c>
      <c r="M73" s="1">
        <v>4</v>
      </c>
      <c r="N73" s="1">
        <v>2</v>
      </c>
      <c r="O73" s="1">
        <f t="shared" si="5"/>
        <v>52.5</v>
      </c>
      <c r="P73" s="1">
        <v>4</v>
      </c>
      <c r="Q73" s="3">
        <v>46226.530555555553</v>
      </c>
      <c r="R73" s="3">
        <v>46226.535416666673</v>
      </c>
      <c r="S73" s="9">
        <f t="shared" si="6"/>
        <v>7</v>
      </c>
      <c r="T73" s="1">
        <v>6</v>
      </c>
      <c r="U73" s="1">
        <v>2</v>
      </c>
      <c r="V73" s="1">
        <v>10</v>
      </c>
      <c r="W73" s="1">
        <v>1</v>
      </c>
      <c r="X73" s="1">
        <v>1</v>
      </c>
      <c r="Y73" s="1">
        <v>1</v>
      </c>
      <c r="Z73" t="str">
        <f t="shared" si="7"/>
        <v>Success</v>
      </c>
    </row>
    <row r="74" spans="1:26" x14ac:dyDescent="0.3">
      <c r="A74" s="1" t="s">
        <v>135</v>
      </c>
      <c r="B74" s="1">
        <v>2</v>
      </c>
      <c r="C74" s="1" t="str">
        <f t="shared" si="4"/>
        <v>Passive</v>
      </c>
      <c r="D74" s="1">
        <v>2</v>
      </c>
      <c r="E74" s="1">
        <v>1</v>
      </c>
      <c r="F74" s="1">
        <v>2</v>
      </c>
      <c r="G74" s="1">
        <v>1</v>
      </c>
      <c r="H74" s="1">
        <v>1</v>
      </c>
      <c r="I74" s="1">
        <v>1</v>
      </c>
      <c r="J74" s="1">
        <v>1</v>
      </c>
      <c r="K74" s="1">
        <v>2</v>
      </c>
      <c r="L74" s="1">
        <v>2</v>
      </c>
      <c r="M74" s="1">
        <v>2</v>
      </c>
      <c r="N74" s="1">
        <v>1</v>
      </c>
      <c r="O74" s="1">
        <f t="shared" si="5"/>
        <v>50</v>
      </c>
      <c r="P74" s="1">
        <v>6</v>
      </c>
      <c r="Q74" s="3">
        <v>46220.48333333333</v>
      </c>
      <c r="R74" s="3">
        <v>46220.494444444441</v>
      </c>
      <c r="S74" s="9">
        <f t="shared" si="6"/>
        <v>16</v>
      </c>
      <c r="T74" s="1">
        <v>6</v>
      </c>
      <c r="U74" s="1">
        <v>1</v>
      </c>
      <c r="V74" s="1">
        <v>1</v>
      </c>
      <c r="W74" s="1">
        <v>1</v>
      </c>
      <c r="X74" s="1">
        <v>1</v>
      </c>
      <c r="Y74" s="1">
        <v>1</v>
      </c>
      <c r="Z74" t="str">
        <f t="shared" si="7"/>
        <v>Success</v>
      </c>
    </row>
    <row r="75" spans="1:26" x14ac:dyDescent="0.3">
      <c r="A75" s="1" t="s">
        <v>136</v>
      </c>
      <c r="B75" s="1">
        <v>6</v>
      </c>
      <c r="C75" s="1" t="str">
        <f t="shared" si="4"/>
        <v>Passive</v>
      </c>
      <c r="D75" s="1">
        <v>3</v>
      </c>
      <c r="E75" s="1">
        <v>3</v>
      </c>
      <c r="F75" s="1">
        <v>3</v>
      </c>
      <c r="G75" s="1">
        <v>3</v>
      </c>
      <c r="H75" s="1">
        <v>3</v>
      </c>
      <c r="I75" s="1">
        <v>4</v>
      </c>
      <c r="J75" s="1">
        <v>2</v>
      </c>
      <c r="K75" s="1">
        <v>4</v>
      </c>
      <c r="L75" s="1">
        <v>3</v>
      </c>
      <c r="M75" s="1">
        <v>3</v>
      </c>
      <c r="N75" s="1">
        <v>5</v>
      </c>
      <c r="O75" s="1">
        <f t="shared" si="5"/>
        <v>52.5</v>
      </c>
      <c r="P75" s="1">
        <v>4</v>
      </c>
      <c r="Q75" s="3">
        <v>46219.345833333333</v>
      </c>
      <c r="R75" s="3">
        <v>46219.347916666673</v>
      </c>
      <c r="S75" s="9">
        <f t="shared" si="6"/>
        <v>3</v>
      </c>
      <c r="T75" s="1">
        <v>2</v>
      </c>
      <c r="U75" s="1">
        <v>0</v>
      </c>
      <c r="V75" s="1">
        <v>8</v>
      </c>
      <c r="W75" s="1">
        <v>1</v>
      </c>
      <c r="X75" s="1">
        <v>1</v>
      </c>
      <c r="Y75" s="1">
        <v>0</v>
      </c>
      <c r="Z75" t="str">
        <f t="shared" si="7"/>
        <v>Failure</v>
      </c>
    </row>
    <row r="76" spans="1:26" x14ac:dyDescent="0.3">
      <c r="A76" s="1" t="s">
        <v>137</v>
      </c>
      <c r="B76" s="1">
        <v>6</v>
      </c>
      <c r="C76" s="1" t="str">
        <f t="shared" si="4"/>
        <v>Passive</v>
      </c>
      <c r="D76" s="1">
        <v>3</v>
      </c>
      <c r="E76" s="1">
        <v>2</v>
      </c>
      <c r="F76" s="1">
        <v>1</v>
      </c>
      <c r="G76" s="1">
        <v>1</v>
      </c>
      <c r="H76" s="1">
        <v>2</v>
      </c>
      <c r="I76" s="1">
        <v>2</v>
      </c>
      <c r="J76" s="1">
        <v>2</v>
      </c>
      <c r="K76" s="1">
        <v>1</v>
      </c>
      <c r="L76" s="1">
        <v>2</v>
      </c>
      <c r="M76" s="1">
        <v>2</v>
      </c>
      <c r="N76" s="1">
        <v>2</v>
      </c>
      <c r="O76" s="1">
        <f t="shared" si="5"/>
        <v>47.5</v>
      </c>
      <c r="P76" s="1">
        <v>5</v>
      </c>
      <c r="Q76" s="3">
        <v>46204.34652777778</v>
      </c>
      <c r="R76" s="3">
        <v>46204.352777777778</v>
      </c>
      <c r="S76" s="9">
        <f t="shared" si="6"/>
        <v>9</v>
      </c>
      <c r="T76" s="1">
        <v>6</v>
      </c>
      <c r="U76" s="1">
        <v>3</v>
      </c>
      <c r="V76" s="1">
        <v>6</v>
      </c>
      <c r="W76" s="1">
        <v>1</v>
      </c>
      <c r="X76" s="1">
        <v>0</v>
      </c>
      <c r="Y76" s="1">
        <v>1</v>
      </c>
      <c r="Z76" t="str">
        <f t="shared" si="7"/>
        <v>Success</v>
      </c>
    </row>
    <row r="77" spans="1:26" x14ac:dyDescent="0.3">
      <c r="A77" s="1" t="s">
        <v>138</v>
      </c>
      <c r="B77" s="1">
        <v>7</v>
      </c>
      <c r="C77" s="1" t="str">
        <f t="shared" si="4"/>
        <v>Passive</v>
      </c>
      <c r="D77" s="1">
        <v>2</v>
      </c>
      <c r="E77" s="1">
        <v>3</v>
      </c>
      <c r="F77" s="1">
        <v>2</v>
      </c>
      <c r="G77" s="1">
        <v>2</v>
      </c>
      <c r="H77" s="1">
        <v>2</v>
      </c>
      <c r="I77" s="1">
        <v>1</v>
      </c>
      <c r="J77" s="1">
        <v>2</v>
      </c>
      <c r="K77" s="1">
        <v>3</v>
      </c>
      <c r="L77" s="1">
        <v>2</v>
      </c>
      <c r="M77" s="1">
        <v>3</v>
      </c>
      <c r="N77" s="1">
        <v>2</v>
      </c>
      <c r="O77" s="1">
        <f t="shared" si="5"/>
        <v>55</v>
      </c>
      <c r="P77" s="1">
        <v>5</v>
      </c>
      <c r="Q77" s="3">
        <v>46208.679166666669</v>
      </c>
      <c r="R77" s="3">
        <v>46208.684027777781</v>
      </c>
      <c r="S77" s="9">
        <f t="shared" si="6"/>
        <v>7</v>
      </c>
      <c r="T77" s="1">
        <v>6</v>
      </c>
      <c r="U77" s="1">
        <v>1</v>
      </c>
      <c r="V77" s="1">
        <v>9</v>
      </c>
      <c r="W77" s="1">
        <v>0</v>
      </c>
      <c r="X77" s="1">
        <v>1</v>
      </c>
      <c r="Y77" s="1">
        <v>1</v>
      </c>
      <c r="Z77" t="str">
        <f t="shared" si="7"/>
        <v>Success</v>
      </c>
    </row>
    <row r="78" spans="1:26" x14ac:dyDescent="0.3">
      <c r="A78" s="1" t="s">
        <v>139</v>
      </c>
      <c r="B78" s="1">
        <v>8</v>
      </c>
      <c r="C78" s="1" t="str">
        <f t="shared" si="4"/>
        <v>Passive</v>
      </c>
      <c r="D78" s="1">
        <v>3</v>
      </c>
      <c r="E78" s="1">
        <v>4</v>
      </c>
      <c r="F78" s="1">
        <v>4</v>
      </c>
      <c r="G78" s="1">
        <v>3</v>
      </c>
      <c r="H78" s="1">
        <v>3</v>
      </c>
      <c r="I78" s="1">
        <v>3</v>
      </c>
      <c r="J78" s="1">
        <v>4</v>
      </c>
      <c r="K78" s="1">
        <v>2</v>
      </c>
      <c r="L78" s="1">
        <v>4</v>
      </c>
      <c r="M78" s="1">
        <v>3</v>
      </c>
      <c r="N78" s="1">
        <v>2</v>
      </c>
      <c r="O78" s="1">
        <f t="shared" si="5"/>
        <v>45</v>
      </c>
      <c r="P78" s="1">
        <v>3</v>
      </c>
      <c r="Q78" s="3">
        <v>46213.59097222222</v>
      </c>
      <c r="R78" s="3">
        <v>46213.597916666673</v>
      </c>
      <c r="S78" s="9">
        <f t="shared" si="6"/>
        <v>10</v>
      </c>
      <c r="T78" s="1">
        <v>3</v>
      </c>
      <c r="U78" s="1">
        <v>0</v>
      </c>
      <c r="V78" s="1">
        <v>7</v>
      </c>
      <c r="W78" s="1">
        <v>1</v>
      </c>
      <c r="X78" s="1">
        <v>0</v>
      </c>
      <c r="Y78" s="1">
        <v>1</v>
      </c>
      <c r="Z78" t="str">
        <f t="shared" si="7"/>
        <v>Success</v>
      </c>
    </row>
    <row r="79" spans="1:26" x14ac:dyDescent="0.3">
      <c r="A79" s="1" t="s">
        <v>140</v>
      </c>
      <c r="B79" s="1">
        <v>4</v>
      </c>
      <c r="C79" s="1" t="str">
        <f t="shared" si="4"/>
        <v>Passive</v>
      </c>
      <c r="D79" s="1">
        <v>3</v>
      </c>
      <c r="E79" s="1">
        <v>3</v>
      </c>
      <c r="F79" s="1">
        <v>3</v>
      </c>
      <c r="G79" s="1">
        <v>1</v>
      </c>
      <c r="H79" s="1">
        <v>3</v>
      </c>
      <c r="I79" s="1">
        <v>2</v>
      </c>
      <c r="J79" s="1">
        <v>2</v>
      </c>
      <c r="K79" s="1">
        <v>2</v>
      </c>
      <c r="L79" s="1">
        <v>1</v>
      </c>
      <c r="M79" s="1">
        <v>1</v>
      </c>
      <c r="N79" s="1">
        <v>2</v>
      </c>
      <c r="O79" s="1">
        <f t="shared" si="5"/>
        <v>45</v>
      </c>
      <c r="P79" s="1">
        <v>6</v>
      </c>
      <c r="Q79" s="3">
        <v>46228.740277777782</v>
      </c>
      <c r="R79" s="3">
        <v>46228.75</v>
      </c>
      <c r="S79" s="9">
        <f t="shared" si="6"/>
        <v>14</v>
      </c>
      <c r="T79" s="1">
        <v>5</v>
      </c>
      <c r="U79" s="1">
        <v>3</v>
      </c>
      <c r="V79" s="1">
        <v>1</v>
      </c>
      <c r="W79" s="1">
        <v>1</v>
      </c>
      <c r="X79" s="1">
        <v>0</v>
      </c>
      <c r="Y79" s="1">
        <v>0</v>
      </c>
      <c r="Z79" t="str">
        <f t="shared" si="7"/>
        <v>Failure</v>
      </c>
    </row>
    <row r="80" spans="1:26" x14ac:dyDescent="0.3">
      <c r="A80" s="1" t="s">
        <v>141</v>
      </c>
      <c r="B80" s="1">
        <v>5</v>
      </c>
      <c r="C80" s="1" t="str">
        <f t="shared" si="4"/>
        <v>Passive</v>
      </c>
      <c r="D80" s="1">
        <v>3</v>
      </c>
      <c r="E80" s="1">
        <v>3</v>
      </c>
      <c r="F80" s="1">
        <v>4</v>
      </c>
      <c r="G80" s="1">
        <v>3</v>
      </c>
      <c r="H80" s="1">
        <v>4</v>
      </c>
      <c r="I80" s="1">
        <v>2</v>
      </c>
      <c r="J80" s="1">
        <v>3</v>
      </c>
      <c r="K80" s="1">
        <v>3</v>
      </c>
      <c r="L80" s="1">
        <v>4</v>
      </c>
      <c r="M80" s="1">
        <v>4</v>
      </c>
      <c r="N80" s="1">
        <v>3</v>
      </c>
      <c r="O80" s="1">
        <f t="shared" si="5"/>
        <v>42.5</v>
      </c>
      <c r="P80" s="1">
        <v>3</v>
      </c>
      <c r="Q80" s="3">
        <v>46229.658333333333</v>
      </c>
      <c r="R80" s="3">
        <v>46229.667361111111</v>
      </c>
      <c r="S80" s="9">
        <f t="shared" si="6"/>
        <v>13</v>
      </c>
      <c r="T80" s="1">
        <v>2</v>
      </c>
      <c r="U80" s="1">
        <v>0</v>
      </c>
      <c r="V80" s="1">
        <v>5</v>
      </c>
      <c r="W80" s="1">
        <v>1</v>
      </c>
      <c r="X80" s="1">
        <v>1</v>
      </c>
      <c r="Y80" s="1">
        <v>0</v>
      </c>
      <c r="Z80" t="str">
        <f t="shared" si="7"/>
        <v>Failure</v>
      </c>
    </row>
    <row r="81" spans="1:26" x14ac:dyDescent="0.3">
      <c r="A81" s="1" t="s">
        <v>142</v>
      </c>
      <c r="B81" s="1">
        <v>6</v>
      </c>
      <c r="C81" s="1" t="str">
        <f t="shared" si="4"/>
        <v>Passive</v>
      </c>
      <c r="D81" s="1">
        <v>3</v>
      </c>
      <c r="E81" s="1">
        <v>3</v>
      </c>
      <c r="F81" s="1">
        <v>2</v>
      </c>
      <c r="G81" s="1">
        <v>4</v>
      </c>
      <c r="H81" s="1">
        <v>2</v>
      </c>
      <c r="I81" s="1">
        <v>3</v>
      </c>
      <c r="J81" s="1">
        <v>3</v>
      </c>
      <c r="K81" s="1">
        <v>3</v>
      </c>
      <c r="L81" s="1">
        <v>4</v>
      </c>
      <c r="M81" s="1">
        <v>1</v>
      </c>
      <c r="N81" s="1">
        <v>3</v>
      </c>
      <c r="O81" s="1">
        <f t="shared" si="5"/>
        <v>50</v>
      </c>
      <c r="P81" s="1">
        <v>4</v>
      </c>
      <c r="Q81" s="3">
        <v>46209.548611111109</v>
      </c>
      <c r="R81" s="3">
        <v>46209.553472222222</v>
      </c>
      <c r="S81" s="9">
        <f t="shared" si="6"/>
        <v>7</v>
      </c>
      <c r="T81" s="1">
        <v>6</v>
      </c>
      <c r="U81" s="1">
        <v>1</v>
      </c>
      <c r="V81" s="1">
        <v>8</v>
      </c>
      <c r="W81" s="1">
        <v>1</v>
      </c>
      <c r="X81" s="1">
        <v>0</v>
      </c>
      <c r="Y81" s="1">
        <v>1</v>
      </c>
      <c r="Z81" t="str">
        <f t="shared" si="7"/>
        <v>Success</v>
      </c>
    </row>
    <row r="82" spans="1:26" x14ac:dyDescent="0.3">
      <c r="A82" s="1" t="s">
        <v>143</v>
      </c>
      <c r="B82" s="1">
        <v>10</v>
      </c>
      <c r="C82" s="1" t="str">
        <f t="shared" si="4"/>
        <v>Detractors</v>
      </c>
      <c r="D82" s="1">
        <v>5</v>
      </c>
      <c r="E82" s="1">
        <v>5</v>
      </c>
      <c r="F82" s="1">
        <v>5</v>
      </c>
      <c r="G82" s="1">
        <v>4</v>
      </c>
      <c r="H82" s="1">
        <v>4</v>
      </c>
      <c r="I82" s="1">
        <v>3</v>
      </c>
      <c r="J82" s="1">
        <v>3</v>
      </c>
      <c r="K82" s="1">
        <v>5</v>
      </c>
      <c r="L82" s="1">
        <v>4</v>
      </c>
      <c r="M82" s="1">
        <v>5</v>
      </c>
      <c r="N82" s="1">
        <v>4</v>
      </c>
      <c r="O82" s="1">
        <f t="shared" si="5"/>
        <v>55</v>
      </c>
      <c r="P82" s="1">
        <v>2</v>
      </c>
      <c r="Q82" s="3">
        <v>46217.334027777782</v>
      </c>
      <c r="R82" s="3">
        <v>46217.335416666669</v>
      </c>
      <c r="S82" s="9">
        <f t="shared" si="6"/>
        <v>2</v>
      </c>
      <c r="T82" s="1">
        <v>3</v>
      </c>
      <c r="U82" s="1">
        <v>1</v>
      </c>
      <c r="V82" s="1">
        <v>8</v>
      </c>
      <c r="W82" s="1">
        <v>1</v>
      </c>
      <c r="X82" s="1">
        <v>1</v>
      </c>
      <c r="Y82" s="1">
        <v>1</v>
      </c>
      <c r="Z82" t="str">
        <f t="shared" si="7"/>
        <v>Success</v>
      </c>
    </row>
    <row r="83" spans="1:26" x14ac:dyDescent="0.3">
      <c r="A83" s="1" t="s">
        <v>144</v>
      </c>
      <c r="B83" s="1">
        <v>5</v>
      </c>
      <c r="C83" s="1" t="str">
        <f t="shared" si="4"/>
        <v>Passive</v>
      </c>
      <c r="D83" s="1">
        <v>3</v>
      </c>
      <c r="E83" s="1">
        <v>2</v>
      </c>
      <c r="F83" s="1">
        <v>2</v>
      </c>
      <c r="G83" s="1">
        <v>3</v>
      </c>
      <c r="H83" s="1">
        <v>2</v>
      </c>
      <c r="I83" s="1">
        <v>3</v>
      </c>
      <c r="J83" s="1">
        <v>1</v>
      </c>
      <c r="K83" s="1">
        <v>1</v>
      </c>
      <c r="L83" s="1">
        <v>2</v>
      </c>
      <c r="M83" s="1">
        <v>3</v>
      </c>
      <c r="N83" s="1">
        <v>3</v>
      </c>
      <c r="O83" s="1">
        <f t="shared" si="5"/>
        <v>55</v>
      </c>
      <c r="P83" s="1">
        <v>4</v>
      </c>
      <c r="Q83" s="3">
        <v>46231.783333333333</v>
      </c>
      <c r="R83" s="3">
        <v>46231.790277777778</v>
      </c>
      <c r="S83" s="9">
        <f t="shared" si="6"/>
        <v>10</v>
      </c>
      <c r="T83" s="1">
        <v>7</v>
      </c>
      <c r="U83" s="1">
        <v>1</v>
      </c>
      <c r="V83" s="1">
        <v>3</v>
      </c>
      <c r="W83" s="1">
        <v>1</v>
      </c>
      <c r="X83" s="1">
        <v>0</v>
      </c>
      <c r="Y83" s="1">
        <v>0</v>
      </c>
      <c r="Z83" t="str">
        <f t="shared" si="7"/>
        <v>Failure</v>
      </c>
    </row>
    <row r="84" spans="1:26" x14ac:dyDescent="0.3">
      <c r="A84" s="1" t="s">
        <v>145</v>
      </c>
      <c r="B84" s="1">
        <v>9</v>
      </c>
      <c r="C84" s="1" t="str">
        <f t="shared" si="4"/>
        <v>Detractors</v>
      </c>
      <c r="D84" s="1">
        <v>5</v>
      </c>
      <c r="E84" s="1">
        <v>4</v>
      </c>
      <c r="F84" s="1">
        <v>4</v>
      </c>
      <c r="G84" s="1">
        <v>4</v>
      </c>
      <c r="H84" s="1">
        <v>5</v>
      </c>
      <c r="I84" s="1">
        <v>4</v>
      </c>
      <c r="J84" s="1">
        <v>4</v>
      </c>
      <c r="K84" s="1">
        <v>4</v>
      </c>
      <c r="L84" s="1">
        <v>4</v>
      </c>
      <c r="M84" s="1">
        <v>5</v>
      </c>
      <c r="N84" s="1">
        <v>5</v>
      </c>
      <c r="O84" s="1">
        <f t="shared" si="5"/>
        <v>47.5</v>
      </c>
      <c r="P84" s="1">
        <v>4</v>
      </c>
      <c r="Q84" s="3">
        <v>46204.484027777777</v>
      </c>
      <c r="R84" s="3">
        <v>46204.488888888889</v>
      </c>
      <c r="S84" s="9">
        <f t="shared" si="6"/>
        <v>7</v>
      </c>
      <c r="T84" s="1">
        <v>5</v>
      </c>
      <c r="U84" s="1">
        <v>0</v>
      </c>
      <c r="V84" s="1">
        <v>12</v>
      </c>
      <c r="W84" s="1">
        <v>1</v>
      </c>
      <c r="X84" s="1">
        <v>1</v>
      </c>
      <c r="Y84" s="1">
        <v>1</v>
      </c>
      <c r="Z84" t="str">
        <f t="shared" si="7"/>
        <v>Success</v>
      </c>
    </row>
    <row r="85" spans="1:26" x14ac:dyDescent="0.3">
      <c r="A85" s="1" t="s">
        <v>146</v>
      </c>
      <c r="B85" s="1">
        <v>5</v>
      </c>
      <c r="C85" s="1" t="str">
        <f t="shared" si="4"/>
        <v>Passive</v>
      </c>
      <c r="D85" s="1">
        <v>2</v>
      </c>
      <c r="E85" s="1">
        <v>3</v>
      </c>
      <c r="F85" s="1">
        <v>2</v>
      </c>
      <c r="G85" s="1">
        <v>3</v>
      </c>
      <c r="H85" s="1">
        <v>2</v>
      </c>
      <c r="I85" s="1">
        <v>3</v>
      </c>
      <c r="J85" s="1">
        <v>2</v>
      </c>
      <c r="K85" s="1">
        <v>2</v>
      </c>
      <c r="L85" s="1">
        <v>1</v>
      </c>
      <c r="M85" s="1">
        <v>1</v>
      </c>
      <c r="N85" s="1">
        <v>2</v>
      </c>
      <c r="O85" s="1">
        <f t="shared" si="5"/>
        <v>57.5</v>
      </c>
      <c r="P85" s="1">
        <v>6</v>
      </c>
      <c r="Q85" s="3">
        <v>46229.646527777782</v>
      </c>
      <c r="R85" s="3">
        <v>46229.658333333333</v>
      </c>
      <c r="S85" s="9">
        <f t="shared" si="6"/>
        <v>17</v>
      </c>
      <c r="T85" s="1">
        <v>6</v>
      </c>
      <c r="U85" s="1">
        <v>2</v>
      </c>
      <c r="V85" s="1">
        <v>6</v>
      </c>
      <c r="W85" s="1">
        <v>1</v>
      </c>
      <c r="X85" s="1">
        <v>1</v>
      </c>
      <c r="Y85" s="1">
        <v>1</v>
      </c>
      <c r="Z85" t="str">
        <f t="shared" si="7"/>
        <v>Success</v>
      </c>
    </row>
    <row r="86" spans="1:26" x14ac:dyDescent="0.3">
      <c r="A86" s="1" t="s">
        <v>147</v>
      </c>
      <c r="B86" s="1">
        <v>6</v>
      </c>
      <c r="C86" s="1" t="str">
        <f t="shared" si="4"/>
        <v>Passive</v>
      </c>
      <c r="D86" s="1">
        <v>3</v>
      </c>
      <c r="E86" s="1">
        <v>2</v>
      </c>
      <c r="F86" s="1">
        <v>3</v>
      </c>
      <c r="G86" s="1">
        <v>3</v>
      </c>
      <c r="H86" s="1">
        <v>2</v>
      </c>
      <c r="I86" s="1">
        <v>2</v>
      </c>
      <c r="J86" s="1">
        <v>2</v>
      </c>
      <c r="K86" s="1">
        <v>3</v>
      </c>
      <c r="L86" s="1">
        <v>3</v>
      </c>
      <c r="M86" s="1">
        <v>2</v>
      </c>
      <c r="N86" s="1">
        <v>2</v>
      </c>
      <c r="O86" s="1">
        <f t="shared" si="5"/>
        <v>50</v>
      </c>
      <c r="P86" s="1">
        <v>6</v>
      </c>
      <c r="Q86" s="3">
        <v>46207.336805555547</v>
      </c>
      <c r="R86" s="3">
        <v>46207.345138888893</v>
      </c>
      <c r="S86" s="9">
        <f t="shared" si="6"/>
        <v>12</v>
      </c>
      <c r="T86" s="1">
        <v>6</v>
      </c>
      <c r="U86" s="1">
        <v>3</v>
      </c>
      <c r="V86" s="1">
        <v>8</v>
      </c>
      <c r="W86" s="1">
        <v>0</v>
      </c>
      <c r="X86" s="1">
        <v>1</v>
      </c>
      <c r="Y86" s="1">
        <v>1</v>
      </c>
      <c r="Z86" t="str">
        <f t="shared" si="7"/>
        <v>Success</v>
      </c>
    </row>
    <row r="87" spans="1:26" x14ac:dyDescent="0.3">
      <c r="A87" s="1" t="s">
        <v>148</v>
      </c>
      <c r="B87" s="1">
        <v>4</v>
      </c>
      <c r="C87" s="1" t="str">
        <f t="shared" si="4"/>
        <v>Passive</v>
      </c>
      <c r="D87" s="1">
        <v>3</v>
      </c>
      <c r="E87" s="1">
        <v>3</v>
      </c>
      <c r="F87" s="1">
        <v>3</v>
      </c>
      <c r="G87" s="1">
        <v>3</v>
      </c>
      <c r="H87" s="1">
        <v>2</v>
      </c>
      <c r="I87" s="1">
        <v>3</v>
      </c>
      <c r="J87" s="1">
        <v>3</v>
      </c>
      <c r="K87" s="1">
        <v>3</v>
      </c>
      <c r="L87" s="1">
        <v>2</v>
      </c>
      <c r="M87" s="1">
        <v>3</v>
      </c>
      <c r="N87" s="1">
        <v>2</v>
      </c>
      <c r="O87" s="1">
        <f t="shared" si="5"/>
        <v>57.5</v>
      </c>
      <c r="P87" s="1">
        <v>5</v>
      </c>
      <c r="Q87" s="3">
        <v>46207.429861111108</v>
      </c>
      <c r="R87" s="3">
        <v>46207.438194444447</v>
      </c>
      <c r="S87" s="9">
        <f t="shared" si="6"/>
        <v>12</v>
      </c>
      <c r="T87" s="1">
        <v>7</v>
      </c>
      <c r="U87" s="1">
        <v>0</v>
      </c>
      <c r="V87" s="1">
        <v>4</v>
      </c>
      <c r="W87" s="1">
        <v>1</v>
      </c>
      <c r="X87" s="1">
        <v>1</v>
      </c>
      <c r="Y87" s="1">
        <v>1</v>
      </c>
      <c r="Z87" t="str">
        <f t="shared" si="7"/>
        <v>Success</v>
      </c>
    </row>
    <row r="88" spans="1:26" x14ac:dyDescent="0.3">
      <c r="A88" s="1" t="s">
        <v>149</v>
      </c>
      <c r="B88" s="1">
        <v>5</v>
      </c>
      <c r="C88" s="1" t="str">
        <f t="shared" si="4"/>
        <v>Passive</v>
      </c>
      <c r="D88" s="1">
        <v>4</v>
      </c>
      <c r="E88" s="1">
        <v>2</v>
      </c>
      <c r="F88" s="1">
        <v>4</v>
      </c>
      <c r="G88" s="1">
        <v>2</v>
      </c>
      <c r="H88" s="1">
        <v>2</v>
      </c>
      <c r="I88" s="1">
        <v>3</v>
      </c>
      <c r="J88" s="1">
        <v>2</v>
      </c>
      <c r="K88" s="1">
        <v>3</v>
      </c>
      <c r="L88" s="1">
        <v>4</v>
      </c>
      <c r="M88" s="1">
        <v>2</v>
      </c>
      <c r="N88" s="1">
        <v>4</v>
      </c>
      <c r="O88" s="1">
        <f t="shared" si="5"/>
        <v>40</v>
      </c>
      <c r="P88" s="1">
        <v>5</v>
      </c>
      <c r="Q88" s="3">
        <v>46210.731944444437</v>
      </c>
      <c r="R88" s="3">
        <v>46210.740277777782</v>
      </c>
      <c r="S88" s="9">
        <f t="shared" si="6"/>
        <v>12</v>
      </c>
      <c r="T88" s="1">
        <v>7</v>
      </c>
      <c r="U88" s="1">
        <v>3</v>
      </c>
      <c r="V88" s="1">
        <v>8</v>
      </c>
      <c r="W88" s="1">
        <v>1</v>
      </c>
      <c r="X88" s="1">
        <v>1</v>
      </c>
      <c r="Y88" s="1">
        <v>1</v>
      </c>
      <c r="Z88" t="str">
        <f t="shared" si="7"/>
        <v>Success</v>
      </c>
    </row>
    <row r="89" spans="1:26" x14ac:dyDescent="0.3">
      <c r="A89" s="1" t="s">
        <v>150</v>
      </c>
      <c r="B89" s="1">
        <v>5</v>
      </c>
      <c r="C89" s="1" t="str">
        <f t="shared" si="4"/>
        <v>Passive</v>
      </c>
      <c r="D89" s="1">
        <v>3</v>
      </c>
      <c r="E89" s="1">
        <v>2</v>
      </c>
      <c r="F89" s="1">
        <v>1</v>
      </c>
      <c r="G89" s="1">
        <v>2</v>
      </c>
      <c r="H89" s="1">
        <v>1</v>
      </c>
      <c r="I89" s="1">
        <v>2</v>
      </c>
      <c r="J89" s="1">
        <v>3</v>
      </c>
      <c r="K89" s="1">
        <v>2</v>
      </c>
      <c r="L89" s="1">
        <v>2</v>
      </c>
      <c r="M89" s="1">
        <v>2</v>
      </c>
      <c r="N89" s="1">
        <v>3</v>
      </c>
      <c r="O89" s="1">
        <f t="shared" si="5"/>
        <v>50</v>
      </c>
      <c r="P89" s="1">
        <v>4</v>
      </c>
      <c r="Q89" s="3">
        <v>46229.693055555559</v>
      </c>
      <c r="R89" s="3">
        <v>46229.701388888891</v>
      </c>
      <c r="S89" s="9">
        <f t="shared" si="6"/>
        <v>12</v>
      </c>
      <c r="T89" s="1">
        <v>5</v>
      </c>
      <c r="U89" s="1">
        <v>1</v>
      </c>
      <c r="V89" s="1">
        <v>2</v>
      </c>
      <c r="W89" s="1">
        <v>0</v>
      </c>
      <c r="X89" s="1">
        <v>0</v>
      </c>
      <c r="Y89" s="1">
        <v>1</v>
      </c>
      <c r="Z89" t="str">
        <f t="shared" si="7"/>
        <v>Success</v>
      </c>
    </row>
    <row r="90" spans="1:26" x14ac:dyDescent="0.3">
      <c r="A90" s="1" t="s">
        <v>151</v>
      </c>
      <c r="B90" s="1">
        <v>1</v>
      </c>
      <c r="C90" s="1" t="str">
        <f t="shared" si="4"/>
        <v>Passive</v>
      </c>
      <c r="D90" s="1">
        <v>3</v>
      </c>
      <c r="E90" s="1">
        <v>2</v>
      </c>
      <c r="F90" s="1">
        <v>3</v>
      </c>
      <c r="G90" s="1">
        <v>1</v>
      </c>
      <c r="H90" s="1">
        <v>2</v>
      </c>
      <c r="I90" s="1">
        <v>1</v>
      </c>
      <c r="J90" s="1">
        <v>2</v>
      </c>
      <c r="K90" s="1">
        <v>1</v>
      </c>
      <c r="L90" s="1">
        <v>3</v>
      </c>
      <c r="M90" s="1">
        <v>1</v>
      </c>
      <c r="N90" s="1">
        <v>2</v>
      </c>
      <c r="O90" s="1">
        <f t="shared" si="5"/>
        <v>35</v>
      </c>
      <c r="P90" s="1">
        <v>5</v>
      </c>
      <c r="Q90" s="3">
        <v>46215.354166666657</v>
      </c>
      <c r="R90" s="3">
        <v>46215.365972222222</v>
      </c>
      <c r="S90" s="9">
        <f t="shared" si="6"/>
        <v>17</v>
      </c>
      <c r="T90" s="1">
        <v>7</v>
      </c>
      <c r="U90" s="1">
        <v>4</v>
      </c>
      <c r="V90" s="1">
        <v>1</v>
      </c>
      <c r="W90" s="1">
        <v>1</v>
      </c>
      <c r="X90" s="1">
        <v>0</v>
      </c>
      <c r="Y90" s="1">
        <v>1</v>
      </c>
      <c r="Z90" t="str">
        <f t="shared" si="7"/>
        <v>Success</v>
      </c>
    </row>
    <row r="91" spans="1:26" x14ac:dyDescent="0.3">
      <c r="A91" s="1" t="s">
        <v>152</v>
      </c>
      <c r="B91" s="1">
        <v>7</v>
      </c>
      <c r="C91" s="1" t="str">
        <f t="shared" si="4"/>
        <v>Passive</v>
      </c>
      <c r="D91" s="1">
        <v>5</v>
      </c>
      <c r="E91" s="1">
        <v>4</v>
      </c>
      <c r="F91" s="1">
        <v>3</v>
      </c>
      <c r="G91" s="1">
        <v>3</v>
      </c>
      <c r="H91" s="1">
        <v>4</v>
      </c>
      <c r="I91" s="1">
        <v>5</v>
      </c>
      <c r="J91" s="1">
        <v>3</v>
      </c>
      <c r="K91" s="1">
        <v>4</v>
      </c>
      <c r="L91" s="1">
        <v>4</v>
      </c>
      <c r="M91" s="1">
        <v>4</v>
      </c>
      <c r="N91" s="1">
        <v>4</v>
      </c>
      <c r="O91" s="1">
        <f t="shared" si="5"/>
        <v>55</v>
      </c>
      <c r="P91" s="1">
        <v>5</v>
      </c>
      <c r="Q91" s="3">
        <v>46216.757638888892</v>
      </c>
      <c r="R91" s="3">
        <v>46216.763194444437</v>
      </c>
      <c r="S91" s="9">
        <f t="shared" si="6"/>
        <v>8</v>
      </c>
      <c r="T91" s="1">
        <v>5</v>
      </c>
      <c r="U91" s="1">
        <v>0</v>
      </c>
      <c r="V91" s="1">
        <v>9</v>
      </c>
      <c r="W91" s="1">
        <v>1</v>
      </c>
      <c r="X91" s="1">
        <v>1</v>
      </c>
      <c r="Y91" s="1">
        <v>1</v>
      </c>
      <c r="Z91" t="str">
        <f t="shared" si="7"/>
        <v>Success</v>
      </c>
    </row>
    <row r="92" spans="1:26" x14ac:dyDescent="0.3">
      <c r="A92" s="1" t="s">
        <v>153</v>
      </c>
      <c r="B92" s="1">
        <v>4</v>
      </c>
      <c r="C92" s="1" t="str">
        <f t="shared" si="4"/>
        <v>Passive</v>
      </c>
      <c r="D92" s="1">
        <v>2</v>
      </c>
      <c r="E92" s="1">
        <v>2</v>
      </c>
      <c r="F92" s="1">
        <v>3</v>
      </c>
      <c r="G92" s="1">
        <v>3</v>
      </c>
      <c r="H92" s="1">
        <v>3</v>
      </c>
      <c r="I92" s="1">
        <v>2</v>
      </c>
      <c r="J92" s="1">
        <v>2</v>
      </c>
      <c r="K92" s="1">
        <v>3</v>
      </c>
      <c r="L92" s="1">
        <v>3</v>
      </c>
      <c r="M92" s="1">
        <v>2</v>
      </c>
      <c r="N92" s="1">
        <v>3</v>
      </c>
      <c r="O92" s="1">
        <f t="shared" si="5"/>
        <v>45</v>
      </c>
      <c r="P92" s="1">
        <v>4</v>
      </c>
      <c r="Q92" s="3">
        <v>46207.556944444441</v>
      </c>
      <c r="R92" s="3">
        <v>46207.565972222219</v>
      </c>
      <c r="S92" s="9">
        <f t="shared" si="6"/>
        <v>13</v>
      </c>
      <c r="T92" s="1">
        <v>3</v>
      </c>
      <c r="U92" s="1">
        <v>0</v>
      </c>
      <c r="V92" s="1">
        <v>4</v>
      </c>
      <c r="W92" s="1">
        <v>1</v>
      </c>
      <c r="X92" s="1">
        <v>1</v>
      </c>
      <c r="Y92" s="1">
        <v>1</v>
      </c>
      <c r="Z92" t="str">
        <f t="shared" si="7"/>
        <v>Success</v>
      </c>
    </row>
    <row r="93" spans="1:26" x14ac:dyDescent="0.3">
      <c r="A93" s="1" t="s">
        <v>154</v>
      </c>
      <c r="B93" s="1">
        <v>7</v>
      </c>
      <c r="C93" s="1" t="str">
        <f t="shared" si="4"/>
        <v>Passive</v>
      </c>
      <c r="D93" s="1">
        <v>4</v>
      </c>
      <c r="E93" s="1">
        <v>3</v>
      </c>
      <c r="F93" s="1">
        <v>3</v>
      </c>
      <c r="G93" s="1">
        <v>3</v>
      </c>
      <c r="H93" s="1">
        <v>3</v>
      </c>
      <c r="I93" s="1">
        <v>4</v>
      </c>
      <c r="J93" s="1">
        <v>3</v>
      </c>
      <c r="K93" s="1">
        <v>2</v>
      </c>
      <c r="L93" s="1">
        <v>4</v>
      </c>
      <c r="M93" s="1">
        <v>3</v>
      </c>
      <c r="N93" s="1">
        <v>3</v>
      </c>
      <c r="O93" s="1">
        <f t="shared" si="5"/>
        <v>47.5</v>
      </c>
      <c r="P93" s="1">
        <v>3</v>
      </c>
      <c r="Q93" s="3">
        <v>46214.652083333327</v>
      </c>
      <c r="R93" s="3">
        <v>46214.65902777778</v>
      </c>
      <c r="S93" s="9">
        <f t="shared" si="6"/>
        <v>10</v>
      </c>
      <c r="T93" s="1">
        <v>6</v>
      </c>
      <c r="U93" s="1">
        <v>2</v>
      </c>
      <c r="V93" s="1">
        <v>6</v>
      </c>
      <c r="W93" s="1">
        <v>1</v>
      </c>
      <c r="X93" s="1">
        <v>1</v>
      </c>
      <c r="Y93" s="1">
        <v>0</v>
      </c>
      <c r="Z93" t="str">
        <f t="shared" si="7"/>
        <v>Failure</v>
      </c>
    </row>
    <row r="94" spans="1:26" x14ac:dyDescent="0.3">
      <c r="A94" s="1" t="s">
        <v>155</v>
      </c>
      <c r="B94" s="1">
        <v>6</v>
      </c>
      <c r="C94" s="1" t="str">
        <f t="shared" si="4"/>
        <v>Passive</v>
      </c>
      <c r="D94" s="1">
        <v>4</v>
      </c>
      <c r="E94" s="1">
        <v>3</v>
      </c>
      <c r="F94" s="1">
        <v>3</v>
      </c>
      <c r="G94" s="1">
        <v>3</v>
      </c>
      <c r="H94" s="1">
        <v>3</v>
      </c>
      <c r="I94" s="1">
        <v>2</v>
      </c>
      <c r="J94" s="1">
        <v>3</v>
      </c>
      <c r="K94" s="1">
        <v>3</v>
      </c>
      <c r="L94" s="1">
        <v>2</v>
      </c>
      <c r="M94" s="1">
        <v>3</v>
      </c>
      <c r="N94" s="1">
        <v>3</v>
      </c>
      <c r="O94" s="1">
        <f t="shared" si="5"/>
        <v>50</v>
      </c>
      <c r="P94" s="1">
        <v>4</v>
      </c>
      <c r="Q94" s="3">
        <v>46228.702777777777</v>
      </c>
      <c r="R94" s="3">
        <v>46228.712500000001</v>
      </c>
      <c r="S94" s="9">
        <f t="shared" si="6"/>
        <v>14</v>
      </c>
      <c r="T94" s="1">
        <v>5</v>
      </c>
      <c r="U94" s="1">
        <v>1</v>
      </c>
      <c r="V94" s="1">
        <v>5</v>
      </c>
      <c r="W94" s="1">
        <v>1</v>
      </c>
      <c r="X94" s="1">
        <v>0</v>
      </c>
      <c r="Y94" s="1">
        <v>1</v>
      </c>
      <c r="Z94" t="str">
        <f t="shared" si="7"/>
        <v>Success</v>
      </c>
    </row>
    <row r="95" spans="1:26" x14ac:dyDescent="0.3">
      <c r="A95" s="1" t="s">
        <v>156</v>
      </c>
      <c r="B95" s="1">
        <v>4</v>
      </c>
      <c r="C95" s="1" t="str">
        <f t="shared" si="4"/>
        <v>Passive</v>
      </c>
      <c r="D95" s="1">
        <v>4</v>
      </c>
      <c r="E95" s="1">
        <v>3</v>
      </c>
      <c r="F95" s="1">
        <v>3</v>
      </c>
      <c r="G95" s="1">
        <v>3</v>
      </c>
      <c r="H95" s="1">
        <v>2</v>
      </c>
      <c r="I95" s="1">
        <v>3</v>
      </c>
      <c r="J95" s="1">
        <v>2</v>
      </c>
      <c r="K95" s="1">
        <v>1</v>
      </c>
      <c r="L95" s="1">
        <v>2</v>
      </c>
      <c r="M95" s="1">
        <v>2</v>
      </c>
      <c r="N95" s="1">
        <v>1</v>
      </c>
      <c r="O95" s="1">
        <f t="shared" si="5"/>
        <v>55</v>
      </c>
      <c r="P95" s="1">
        <v>6</v>
      </c>
      <c r="Q95" s="3">
        <v>46230.493750000001</v>
      </c>
      <c r="R95" s="3">
        <v>46230.500694444447</v>
      </c>
      <c r="S95" s="9">
        <f t="shared" si="6"/>
        <v>10</v>
      </c>
      <c r="T95" s="1">
        <v>7</v>
      </c>
      <c r="U95" s="1">
        <v>4</v>
      </c>
      <c r="V95" s="1">
        <v>4</v>
      </c>
      <c r="W95" s="1">
        <v>0</v>
      </c>
      <c r="X95" s="1">
        <v>0</v>
      </c>
      <c r="Y95" s="1">
        <v>1</v>
      </c>
      <c r="Z95" t="str">
        <f t="shared" si="7"/>
        <v>Success</v>
      </c>
    </row>
    <row r="96" spans="1:26" x14ac:dyDescent="0.3">
      <c r="A96" s="1" t="s">
        <v>157</v>
      </c>
      <c r="B96" s="1">
        <v>10</v>
      </c>
      <c r="C96" s="1" t="str">
        <f t="shared" si="4"/>
        <v>Detractors</v>
      </c>
      <c r="D96" s="1">
        <v>5</v>
      </c>
      <c r="E96" s="1">
        <v>5</v>
      </c>
      <c r="F96" s="1">
        <v>4</v>
      </c>
      <c r="G96" s="1">
        <v>5</v>
      </c>
      <c r="H96" s="1">
        <v>4</v>
      </c>
      <c r="I96" s="1">
        <v>4</v>
      </c>
      <c r="J96" s="1">
        <v>3</v>
      </c>
      <c r="K96" s="1">
        <v>4</v>
      </c>
      <c r="L96" s="1">
        <v>3</v>
      </c>
      <c r="M96" s="1">
        <v>4</v>
      </c>
      <c r="N96" s="1">
        <v>4</v>
      </c>
      <c r="O96" s="1">
        <f t="shared" si="5"/>
        <v>60</v>
      </c>
      <c r="P96" s="1">
        <v>1</v>
      </c>
      <c r="Q96" s="3">
        <v>46212.768055555563</v>
      </c>
      <c r="R96" s="3">
        <v>46212.770138888889</v>
      </c>
      <c r="S96" s="9">
        <f t="shared" si="6"/>
        <v>3</v>
      </c>
      <c r="T96" s="1">
        <v>4</v>
      </c>
      <c r="U96" s="1">
        <v>0</v>
      </c>
      <c r="V96" s="1">
        <v>8</v>
      </c>
      <c r="W96" s="1">
        <v>1</v>
      </c>
      <c r="X96" s="1">
        <v>1</v>
      </c>
      <c r="Y96" s="1">
        <v>1</v>
      </c>
      <c r="Z96" t="str">
        <f t="shared" si="7"/>
        <v>Success</v>
      </c>
    </row>
    <row r="97" spans="1:26" x14ac:dyDescent="0.3">
      <c r="A97" s="1" t="s">
        <v>158</v>
      </c>
      <c r="B97" s="1">
        <v>7</v>
      </c>
      <c r="C97" s="1" t="str">
        <f t="shared" si="4"/>
        <v>Passive</v>
      </c>
      <c r="D97" s="1">
        <v>2</v>
      </c>
      <c r="E97" s="1">
        <v>4</v>
      </c>
      <c r="F97" s="1">
        <v>2</v>
      </c>
      <c r="G97" s="1">
        <v>2</v>
      </c>
      <c r="H97" s="1">
        <v>3</v>
      </c>
      <c r="I97" s="1">
        <v>2</v>
      </c>
      <c r="J97" s="1">
        <v>1</v>
      </c>
      <c r="K97" s="1">
        <v>4</v>
      </c>
      <c r="L97" s="1">
        <v>3</v>
      </c>
      <c r="M97" s="1">
        <v>2</v>
      </c>
      <c r="N97" s="1">
        <v>2</v>
      </c>
      <c r="O97" s="1">
        <f t="shared" si="5"/>
        <v>57.5</v>
      </c>
      <c r="P97" s="1">
        <v>6</v>
      </c>
      <c r="Q97" s="3">
        <v>46221.713888888888</v>
      </c>
      <c r="R97" s="3">
        <v>46221.723611111112</v>
      </c>
      <c r="S97" s="9">
        <f t="shared" si="6"/>
        <v>14</v>
      </c>
      <c r="T97" s="1">
        <v>4</v>
      </c>
      <c r="U97" s="1">
        <v>2</v>
      </c>
      <c r="V97" s="1">
        <v>3</v>
      </c>
      <c r="W97" s="1">
        <v>0</v>
      </c>
      <c r="X97" s="1">
        <v>1</v>
      </c>
      <c r="Y97" s="1">
        <v>1</v>
      </c>
      <c r="Z97" t="str">
        <f t="shared" si="7"/>
        <v>Success</v>
      </c>
    </row>
    <row r="98" spans="1:26" x14ac:dyDescent="0.3">
      <c r="A98" s="1" t="s">
        <v>159</v>
      </c>
      <c r="B98" s="1">
        <v>7</v>
      </c>
      <c r="C98" s="1" t="str">
        <f t="shared" si="4"/>
        <v>Passive</v>
      </c>
      <c r="D98" s="1">
        <v>5</v>
      </c>
      <c r="E98" s="1">
        <v>4</v>
      </c>
      <c r="F98" s="1">
        <v>5</v>
      </c>
      <c r="G98" s="1">
        <v>4</v>
      </c>
      <c r="H98" s="1">
        <v>4</v>
      </c>
      <c r="I98" s="1">
        <v>4</v>
      </c>
      <c r="J98" s="1">
        <v>5</v>
      </c>
      <c r="K98" s="1">
        <v>4</v>
      </c>
      <c r="L98" s="1">
        <v>5</v>
      </c>
      <c r="M98" s="1">
        <v>4</v>
      </c>
      <c r="N98" s="1">
        <v>4</v>
      </c>
      <c r="O98" s="1">
        <f t="shared" si="5"/>
        <v>42.5</v>
      </c>
      <c r="P98" s="1">
        <v>3</v>
      </c>
      <c r="Q98" s="3">
        <v>46232.756944444453</v>
      </c>
      <c r="R98" s="3">
        <v>46232.76458333333</v>
      </c>
      <c r="S98" s="9">
        <f t="shared" si="6"/>
        <v>11</v>
      </c>
      <c r="T98" s="1">
        <v>5</v>
      </c>
      <c r="U98" s="1">
        <v>2</v>
      </c>
      <c r="V98" s="1">
        <v>8</v>
      </c>
      <c r="W98" s="1">
        <v>1</v>
      </c>
      <c r="X98" s="1">
        <v>1</v>
      </c>
      <c r="Y98" s="1">
        <v>1</v>
      </c>
      <c r="Z98" t="str">
        <f t="shared" si="7"/>
        <v>Success</v>
      </c>
    </row>
    <row r="99" spans="1:26" x14ac:dyDescent="0.3">
      <c r="A99" s="1" t="s">
        <v>160</v>
      </c>
      <c r="B99" s="1">
        <v>9</v>
      </c>
      <c r="C99" s="1" t="str">
        <f t="shared" si="4"/>
        <v>Detractors</v>
      </c>
      <c r="D99" s="1">
        <v>4</v>
      </c>
      <c r="E99" s="1">
        <v>4</v>
      </c>
      <c r="F99" s="1">
        <v>3</v>
      </c>
      <c r="G99" s="1">
        <v>3</v>
      </c>
      <c r="H99" s="1">
        <v>4</v>
      </c>
      <c r="I99" s="1">
        <v>4</v>
      </c>
      <c r="J99" s="1">
        <v>4</v>
      </c>
      <c r="K99" s="1">
        <v>3</v>
      </c>
      <c r="L99" s="1">
        <v>3</v>
      </c>
      <c r="M99" s="1">
        <v>4</v>
      </c>
      <c r="N99" s="1">
        <v>3</v>
      </c>
      <c r="O99" s="1">
        <f t="shared" si="5"/>
        <v>52.5</v>
      </c>
      <c r="P99" s="1">
        <v>5</v>
      </c>
      <c r="Q99" s="3">
        <v>46231.445138888892</v>
      </c>
      <c r="R99" s="3">
        <v>46231.453472222223</v>
      </c>
      <c r="S99" s="9">
        <f t="shared" si="6"/>
        <v>12</v>
      </c>
      <c r="T99" s="1">
        <v>5</v>
      </c>
      <c r="U99" s="1">
        <v>1</v>
      </c>
      <c r="V99" s="1">
        <v>7</v>
      </c>
      <c r="W99" s="1">
        <v>1</v>
      </c>
      <c r="X99" s="1">
        <v>1</v>
      </c>
      <c r="Y99" s="1">
        <v>1</v>
      </c>
      <c r="Z99" t="str">
        <f t="shared" si="7"/>
        <v>Success</v>
      </c>
    </row>
    <row r="100" spans="1:26" x14ac:dyDescent="0.3">
      <c r="A100" s="1" t="s">
        <v>161</v>
      </c>
      <c r="B100" s="1">
        <v>4</v>
      </c>
      <c r="C100" s="1" t="str">
        <f t="shared" si="4"/>
        <v>Passive</v>
      </c>
      <c r="D100" s="1">
        <v>3</v>
      </c>
      <c r="E100" s="1">
        <v>3</v>
      </c>
      <c r="F100" s="1">
        <v>2</v>
      </c>
      <c r="G100" s="1">
        <v>1</v>
      </c>
      <c r="H100" s="1">
        <v>4</v>
      </c>
      <c r="I100" s="1">
        <v>3</v>
      </c>
      <c r="J100" s="1">
        <v>3</v>
      </c>
      <c r="K100" s="1">
        <v>3</v>
      </c>
      <c r="L100" s="1">
        <v>3</v>
      </c>
      <c r="M100" s="1">
        <v>2</v>
      </c>
      <c r="N100" s="1">
        <v>2</v>
      </c>
      <c r="O100" s="1">
        <f t="shared" si="5"/>
        <v>45</v>
      </c>
      <c r="P100" s="1">
        <v>5</v>
      </c>
      <c r="Q100" s="3">
        <v>46223.53402777778</v>
      </c>
      <c r="R100" s="3">
        <v>46223.542361111111</v>
      </c>
      <c r="S100" s="9">
        <f t="shared" si="6"/>
        <v>12</v>
      </c>
      <c r="T100" s="1">
        <v>5</v>
      </c>
      <c r="U100" s="1">
        <v>2</v>
      </c>
      <c r="V100" s="1">
        <v>2</v>
      </c>
      <c r="W100" s="1">
        <v>0</v>
      </c>
      <c r="X100" s="1">
        <v>0</v>
      </c>
      <c r="Y100" s="1">
        <v>1</v>
      </c>
      <c r="Z100" t="str">
        <f t="shared" si="7"/>
        <v>Success</v>
      </c>
    </row>
    <row r="101" spans="1:26" x14ac:dyDescent="0.3">
      <c r="A101" s="1" t="s">
        <v>162</v>
      </c>
      <c r="B101" s="1">
        <v>8</v>
      </c>
      <c r="C101" s="1" t="str">
        <f t="shared" si="4"/>
        <v>Passive</v>
      </c>
      <c r="D101" s="1">
        <v>5</v>
      </c>
      <c r="E101" s="1">
        <v>4</v>
      </c>
      <c r="F101" s="1">
        <v>4</v>
      </c>
      <c r="G101" s="1">
        <v>4</v>
      </c>
      <c r="H101" s="1">
        <v>3</v>
      </c>
      <c r="I101" s="1">
        <v>4</v>
      </c>
      <c r="J101" s="1">
        <v>3</v>
      </c>
      <c r="K101" s="1">
        <v>5</v>
      </c>
      <c r="L101" s="1">
        <v>3</v>
      </c>
      <c r="M101" s="1">
        <v>4</v>
      </c>
      <c r="N101" s="1">
        <v>4</v>
      </c>
      <c r="O101" s="1">
        <f t="shared" si="5"/>
        <v>60</v>
      </c>
      <c r="P101" s="1">
        <v>3</v>
      </c>
      <c r="Q101" s="3">
        <v>46228.375694444447</v>
      </c>
      <c r="R101" s="3">
        <v>46228.381944444453</v>
      </c>
      <c r="S101" s="9">
        <f t="shared" si="6"/>
        <v>9</v>
      </c>
      <c r="T101" s="1">
        <v>4</v>
      </c>
      <c r="U101" s="1">
        <v>0</v>
      </c>
      <c r="V101" s="1">
        <v>8</v>
      </c>
      <c r="W101" s="1">
        <v>1</v>
      </c>
      <c r="X101" s="1">
        <v>1</v>
      </c>
      <c r="Y101" s="1">
        <v>1</v>
      </c>
      <c r="Z101" t="str">
        <f t="shared" si="7"/>
        <v>Success</v>
      </c>
    </row>
  </sheetData>
  <conditionalFormatting sqref="B2:C101">
    <cfRule type="colorScale" priority="1">
      <colorScale>
        <cfvo type="num" val="0"/>
        <cfvo type="num" val="7"/>
        <cfvo type="num" val="10"/>
        <color rgb="FFF4CCCC"/>
        <color rgb="FFFFF2CC"/>
        <color rgb="FFD9EAD3"/>
      </colorScale>
    </cfRule>
  </conditionalFormatting>
  <conditionalFormatting sqref="D2:D101">
    <cfRule type="colorScale" priority="2">
      <colorScale>
        <cfvo type="num" val="1"/>
        <cfvo type="num" val="3"/>
        <cfvo type="num" val="5"/>
        <color rgb="FFF4CCCC"/>
        <color rgb="FFFFF2CC"/>
        <color rgb="FFD9EAD3"/>
      </colorScale>
    </cfRule>
  </conditionalFormatting>
  <conditionalFormatting sqref="N2:O101">
    <cfRule type="colorScale" priority="3">
      <colorScale>
        <cfvo type="num" val="1"/>
        <cfvo type="num" val="3"/>
        <cfvo type="num" val="5"/>
        <color rgb="FFF4CCCC"/>
        <color rgb="FFFFF2CC"/>
        <color rgb="FFD9EAD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Raw_Data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Patil</dc:creator>
  <cp:lastModifiedBy>Zeel Gajra</cp:lastModifiedBy>
  <dcterms:created xsi:type="dcterms:W3CDTF">2026-08-10T10:01:30Z</dcterms:created>
  <dcterms:modified xsi:type="dcterms:W3CDTF">2026-08-12T13:35:23Z</dcterms:modified>
</cp:coreProperties>
</file>